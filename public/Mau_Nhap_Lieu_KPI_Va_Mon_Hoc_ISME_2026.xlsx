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PERATION (50%) &amp; HĐ HTHT (20%)" sheetId="1" r:id="rId1"/>
    <sheet name="KQ SV &amp; KỶ LUẬT SV (20%)" sheetId="2" r:id="rId2"/>
    <sheet name="DS_223_MON_HOC_FULL_CAC_CT" sheetId="3" r:id="rId3"/>
    <sheet name="LO_TRINH_DAO_TAO_THEO_KY" sheetId="4" r:id="rId4"/>
    <sheet name="HUONG_DAN_&amp;_QUY_DINH"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04"/>
  <sheetViews>
    <sheetView workbookViewId="0"/>
  </sheetViews>
  <sheetData>
    <row r="1">
      <c r="A1" t="str">
        <v>BẢNG ĐÁNH GIÁ KẾT QUẢ THỰC HIỆN</v>
      </c>
    </row>
    <row r="2">
      <c r="A2" t="str">
        <v>CÔNG VIỆC CÁ NHÂN</v>
      </c>
    </row>
    <row r="3">
      <c r="E3" t="str">
        <v>Kỳ đánh giá: Kỳ II</v>
      </c>
      <c r="F3" t="str">
        <v>Năm: 2025 - 2026</v>
      </c>
    </row>
    <row r="4">
      <c r="A4" t="str">
        <v>Người được đánh giá</v>
      </c>
      <c r="E4" t="str">
        <v>Họ và tên: Bùi Thị Quỳnh Trang</v>
      </c>
    </row>
    <row r="5">
      <c r="E5" t="str">
        <v>Chức danh: Chuyên viên điều phối</v>
      </c>
      <c r="F5" t="str">
        <v>Mã chức danh</v>
      </c>
    </row>
    <row r="6">
      <c r="A6" t="str">
        <v>Người đánh giá</v>
      </c>
      <c r="E6" t="str">
        <v>Họ và tên: Hồ Hoàng Lan</v>
      </c>
    </row>
    <row r="7">
      <c r="E7" t="str">
        <v>Chức danh: Trưởng Ban Đào tạo đại học</v>
      </c>
      <c r="F7" t="str">
        <v>Mã chức danh</v>
      </c>
    </row>
    <row r="9">
      <c r="A9" t="str">
        <v>STT</v>
      </c>
      <c r="B9" t="str">
        <v>Mục tiêu hành động của vị trí công việc</v>
      </c>
      <c r="E9" t="str">
        <v>Tiêu chí</v>
      </c>
      <c r="F9" t="str">
        <v>Đơn vị đo</v>
      </c>
      <c r="G9" t="str">
        <v>Mục tiêu đạt KPI</v>
      </c>
      <c r="H9" t="str">
        <v>Số lượng được giao</v>
      </c>
      <c r="I9" t="str">
        <v>Số lượng hoàn thành (tự đánh giá)</v>
      </c>
      <c r="J9" t="str">
        <v>Tỉ lệ hoàn thành (tự đánh giá)</v>
      </c>
      <c r="K9" t="str">
        <v>Đánh giá của line manager (thang điểm từ 1 đến 100)</v>
      </c>
      <c r="L9" t="str">
        <v>Đánh giá của trưởng ban ( thang điểm từ 1 đến 100)</v>
      </c>
      <c r="M9" t="str">
        <v xml:space="preserve">Đánh giá của trưởng ban ( Note dài khoảng 100-200 words) </v>
      </c>
    </row>
    <row r="10">
      <c r="B10" t="str">
        <v>Nội dung đánh giá</v>
      </c>
      <c r="C10" t="str">
        <v>Đầu mục công việc</v>
      </c>
      <c r="D10" t="str">
        <v>Nhóm KPI theo mô tả CV</v>
      </c>
    </row>
    <row r="11">
      <c r="A11">
        <v>1</v>
      </c>
      <c r="B11" t="str">
        <v>OPERATION (50%)</v>
      </c>
      <c r="C11" t="str">
        <v>Quản lý nội dung giảng dạy</v>
      </c>
      <c r="D11" t="str">
        <v>Làm việc với nhóm GV từng môn về nội dung giảng dạy</v>
      </c>
      <c r="E11" t="str">
        <v>Tỷ lệ các môn học có đầy đủ các tài liệu (SoW, Assessment Plan, Assignment Brief)  theo yêu cầu và đúng tiến độ</v>
      </c>
      <c r="F11" t="str">
        <v>%</v>
      </c>
      <c r="G11">
        <v>1</v>
      </c>
      <c r="H11">
        <v>6</v>
      </c>
      <c r="I11">
        <v>6</v>
      </c>
      <c r="J11">
        <f>I11/H11</f>
        <v>1</v>
      </c>
    </row>
    <row r="12">
      <c r="E12" t="str">
        <v xml:space="preserve">Tỷ lệ các môn có đầy đủ tài liệu môn học trong quá trình đúng hạn </v>
      </c>
      <c r="F12" t="str">
        <v>%</v>
      </c>
      <c r="G12">
        <v>1</v>
      </c>
      <c r="H12">
        <v>6</v>
      </c>
      <c r="I12">
        <v>6</v>
      </c>
      <c r="J12">
        <f>I12/H12</f>
        <v>1</v>
      </c>
    </row>
    <row r="13" xml:space="preserve">
      <c r="A13">
        <v>2</v>
      </c>
      <c r="C13" t="str">
        <v>Quản lý tài liệu liên quan GV</v>
      </c>
      <c r="D13" t="str" xml:space="preserve">
        <v xml:space="preserve">Cung cấp thông tin phục vụ hoàn thiện các thủ tục ký hợp đồng, thanh lý hợp đồng giảng, thủ tục thanh toán tiền giảng/trợ giảng
- HĐ GV
- Thanh toán giảng dạy
- Thanh toán chấm bài</v>
      </c>
      <c r="E13" t="str">
        <v>Tỷ lệ giảng viên được cập nhật thông tin theo đúng tiến độ và kế hoạch vận hành</v>
      </c>
      <c r="F13" t="str">
        <v>%</v>
      </c>
      <c r="G13">
        <v>1</v>
      </c>
      <c r="H13">
        <v>10</v>
      </c>
      <c r="I13">
        <v>10</v>
      </c>
      <c r="J13">
        <f>I13/H13</f>
        <v>1</v>
      </c>
    </row>
    <row r="14">
      <c r="A14">
        <v>3</v>
      </c>
      <c r="C14" t="str">
        <v>Vận hành Lớp học</v>
      </c>
      <c r="D14" t="str">
        <v>Tổ chức lớp học</v>
      </c>
      <c r="E14" t="str">
        <v>Tỷ lệ các lớp được set up theo kế hoạch (Làm &amp; TB TKB cho GV &amp; SV, tạo lớp Moodle, tạo account cho GV và SV, enroll GV và SV)</v>
      </c>
      <c r="F14" t="str">
        <v>%</v>
      </c>
      <c r="G14">
        <v>1</v>
      </c>
      <c r="H14">
        <v>16</v>
      </c>
      <c r="I14">
        <v>16</v>
      </c>
      <c r="J14">
        <f>I14/H14</f>
        <v>1</v>
      </c>
    </row>
    <row r="15">
      <c r="A15">
        <v>4</v>
      </c>
      <c r="C15" t="str">
        <v>Quản lý điểm</v>
      </c>
      <c r="D15" t="str">
        <v>Quản lý điểm và quá trình đánh giá SV</v>
      </c>
      <c r="E15" t="str">
        <v>Tỷ lệ các môn học hoàn thành điểm theo đúng kế hoạch</v>
      </c>
      <c r="F15" t="str">
        <v>%</v>
      </c>
      <c r="G15">
        <v>1</v>
      </c>
      <c r="H15">
        <v>6</v>
      </c>
      <c r="I15">
        <v>6</v>
      </c>
      <c r="J15">
        <f>I15/H15</f>
        <v>1</v>
      </c>
    </row>
    <row r="16">
      <c r="A16">
        <v>5</v>
      </c>
      <c r="B16" t="str">
        <v>OPERATION (50%) &amp; HĐ hỗ trợ HT (20%)</v>
      </c>
      <c r="C16" t="str">
        <v>Hoạt động ngoại khóa</v>
      </c>
      <c r="D16" t="str">
        <v>Tổ chức hoạt động Tọa đàm, hội thảo chuyên đề, guest speaker, field trip</v>
      </c>
      <c r="E16" t="str">
        <v xml:space="preserve">Số lượng các hoạt động được triển khai </v>
      </c>
      <c r="F16" t="str">
        <v>%</v>
      </c>
      <c r="G16">
        <v>1</v>
      </c>
      <c r="H16">
        <v>5</v>
      </c>
      <c r="I16">
        <v>5</v>
      </c>
      <c r="J16">
        <f>I16/H16</f>
        <v>1</v>
      </c>
    </row>
    <row r="17">
      <c r="A17">
        <v>6</v>
      </c>
      <c r="B17" t="str">
        <v>OPERATION (50%)</v>
      </c>
      <c r="C17" t="str">
        <v>Rà soát kết quả học tập</v>
      </c>
      <c r="D17" t="str">
        <v>Rà soát kết quả học tập, hồ sơ hoàn thành chương trình</v>
      </c>
      <c r="E17" t="str">
        <v>Tỷ lệ các môn học có file kết quả rà soát theo yêu cầu</v>
      </c>
      <c r="F17" t="str">
        <v>%</v>
      </c>
      <c r="G17">
        <v>1</v>
      </c>
      <c r="H17">
        <v>6</v>
      </c>
      <c r="I17">
        <v>6</v>
      </c>
      <c r="J17">
        <f>I17/H17</f>
        <v>1</v>
      </c>
    </row>
    <row r="18">
      <c r="A18">
        <v>7</v>
      </c>
      <c r="C18" t="str">
        <v>Turnitin</v>
      </c>
      <c r="D18" t="str">
        <v>Giám sát liêm chính học thuật</v>
      </c>
      <c r="E18" t="str">
        <v>'Tỷ lệ các môn học có báo cáo kết quả rà soát Turnitin theo yêu cầu</v>
      </c>
      <c r="F18" t="str">
        <v>%</v>
      </c>
      <c r="G18">
        <v>1</v>
      </c>
      <c r="H18">
        <v>4</v>
      </c>
      <c r="I18">
        <v>4</v>
      </c>
      <c r="J18">
        <f>I18/H18</f>
        <v>1</v>
      </c>
    </row>
    <row r="19">
      <c r="A19">
        <v>8</v>
      </c>
      <c r="C19" t="str">
        <v>Phản hồi GV &amp; SV</v>
      </c>
      <c r="D19" t="str">
        <v>Xử lý các phản hồi của SV &amp; GV</v>
      </c>
      <c r="E19" t="str">
        <v>Số lượng kiến nghị của sinh viên được xử lý kịp thời (SV KHÔNG phải phản hồi lên cấp cao hơn)</v>
      </c>
      <c r="F19" t="str">
        <v>%</v>
      </c>
      <c r="G19">
        <v>1</v>
      </c>
      <c r="H19">
        <v>5</v>
      </c>
      <c r="I19">
        <v>5</v>
      </c>
      <c r="J19">
        <f>I19/H19</f>
        <v>1</v>
      </c>
    </row>
    <row r="20">
      <c r="A20">
        <v>9</v>
      </c>
      <c r="C20" t="str">
        <v xml:space="preserve"> Module report &amp; Feedback</v>
      </c>
      <c r="D20" t="str">
        <v>Hoàn thành module report và gửi feedback của SV cho GV</v>
      </c>
      <c r="E20" t="str">
        <v>Tỉ lệ số môn học đã làm feedback và gửi report xử lý số liệu cho GV</v>
      </c>
      <c r="F20" t="str">
        <v>%</v>
      </c>
      <c r="G20">
        <v>1</v>
      </c>
      <c r="H20">
        <v>7</v>
      </c>
      <c r="I20">
        <v>7</v>
      </c>
      <c r="J20">
        <v>1</v>
      </c>
    </row>
    <row r="21">
      <c r="A21">
        <v>10</v>
      </c>
      <c r="C21" t="str">
        <v>Hồ sơ SV</v>
      </c>
      <c r="D21" t="str">
        <v>Quản lý tiến trình học tập của sinh viên</v>
      </c>
      <c r="E21" t="str">
        <v>Tỷ lệ hồ sơ sinh viên được cập nhật &amp; giải quyết, đồng bộ thông tin học tập chính xác theo các mốc tiến độ trong kỳ. (Các giấy tờ liên quan đến Giấy xác nhận, lớp học lại...)</v>
      </c>
      <c r="F21" t="str">
        <v>%</v>
      </c>
      <c r="G21">
        <v>1</v>
      </c>
      <c r="H21">
        <v>125</v>
      </c>
      <c r="I21">
        <v>125</v>
      </c>
      <c r="J21">
        <v>1</v>
      </c>
    </row>
    <row r="22">
      <c r="A22">
        <v>11</v>
      </c>
      <c r="B22" t="str">
        <v>HĐ khác (10%)</v>
      </c>
      <c r="C22" t="str">
        <v>Tuyển sinh</v>
      </c>
      <c r="D22" t="str">
        <v>Tham gia công tác tuyển sinh</v>
      </c>
      <c r="E22" t="str">
        <v>Số lượng hoạt động tuyển sinh đã tham gia</v>
      </c>
      <c r="F22" t="str">
        <v>%</v>
      </c>
      <c r="G22">
        <v>1</v>
      </c>
      <c r="H22">
        <v>11</v>
      </c>
      <c r="I22">
        <v>11</v>
      </c>
      <c r="J22">
        <v>1</v>
      </c>
    </row>
    <row r="23">
      <c r="A23">
        <v>12</v>
      </c>
      <c r="C23" t="str">
        <v>Hỗ trợ SV du học &amp; exchange</v>
      </c>
      <c r="D23" t="str">
        <v>Quản lý &amp; hỗ trợ SV trao đổi/ du học</v>
      </c>
      <c r="E23" t="str">
        <v>Tỷ lệ sinh viên có nhu cầu chuyển tiếp/trao đổi được hỗ trợ hoàn thiện hồ sơ đi nước ngoài, mở tài khoản phần mềm liên kết và xuất bảng điểm kịp thời.</v>
      </c>
      <c r="F23" t="str">
        <v>%</v>
      </c>
      <c r="G23">
        <v>1</v>
      </c>
      <c r="H23">
        <v>0</v>
      </c>
      <c r="I23">
        <v>0</v>
      </c>
      <c r="J23">
        <v>1</v>
      </c>
    </row>
    <row r="24">
      <c r="A24">
        <v>13</v>
      </c>
      <c r="C24" t="str">
        <v>Hoạt động khác</v>
      </c>
      <c r="D24" t="str">
        <v>Các hoạt động khác do Viện tổ chức</v>
      </c>
      <c r="E24" t="str">
        <v>Số lượng hoạt động đã tham gia đóng góp</v>
      </c>
      <c r="F24" t="str">
        <v>%</v>
      </c>
      <c r="G24">
        <v>1</v>
      </c>
      <c r="H24">
        <v>5</v>
      </c>
      <c r="I24">
        <v>5</v>
      </c>
      <c r="J24">
        <v>1</v>
      </c>
    </row>
    <row r="26">
      <c r="D26" t="str">
        <v>Người Duyệt</v>
      </c>
      <c r="E26" t="str">
        <v>Người đánh giá</v>
      </c>
      <c r="I26" t="str">
        <v>Người được đánh giá</v>
      </c>
    </row>
    <row r="31">
      <c r="D31" t="str">
        <v>Trưởng Ban</v>
      </c>
      <c r="E31" t="str">
        <v>Cán bộ quản lý trực tiếp</v>
      </c>
      <c r="I31" t="str">
        <v>Bùi Thị Quỳnh Trang</v>
      </c>
    </row>
  </sheetData>
  <mergeCells count="34">
    <mergeCell ref="F5:I5"/>
    <mergeCell ref="K5:L5"/>
    <mergeCell ref="A1:L1"/>
    <mergeCell ref="A2:L2"/>
    <mergeCell ref="A3:D3"/>
    <mergeCell ref="F3:I3"/>
    <mergeCell ref="K3:L3"/>
    <mergeCell ref="A4:D5"/>
    <mergeCell ref="E4:L4"/>
    <mergeCell ref="F9:F10"/>
    <mergeCell ref="G9:G10"/>
    <mergeCell ref="H9:H10"/>
    <mergeCell ref="I9:I10"/>
    <mergeCell ref="J9:J10"/>
    <mergeCell ref="K9:K10"/>
    <mergeCell ref="M9:M10"/>
    <mergeCell ref="I26:L26"/>
    <mergeCell ref="L27:L30"/>
    <mergeCell ref="I31:L31"/>
    <mergeCell ref="B9:D9"/>
    <mergeCell ref="A11:A12"/>
    <mergeCell ref="B11:B15"/>
    <mergeCell ref="C11:C12"/>
    <mergeCell ref="D11:D12"/>
    <mergeCell ref="B17:B21"/>
    <mergeCell ref="B22:B24"/>
    <mergeCell ref="D27:D30"/>
    <mergeCell ref="A6:D7"/>
    <mergeCell ref="E6:L6"/>
    <mergeCell ref="F7:I7"/>
    <mergeCell ref="K7:L7"/>
    <mergeCell ref="A8:L8"/>
    <mergeCell ref="E9:E10"/>
    <mergeCell ref="L9:L10"/>
  </mergeCells>
  <pageMargins left="0.7" right="0.7" top="0.75" bottom="0.75" header="0" footer="0"/>
  <ignoredErrors>
    <ignoredError numberStoredAsText="1" sqref="A1:M1004"/>
  </ignoredErrors>
</worksheet>
</file>

<file path=xl/worksheets/sheet2.xml><?xml version="1.0" encoding="utf-8"?>
<worksheet xmlns="http://schemas.openxmlformats.org/spreadsheetml/2006/main" xmlns:r="http://schemas.openxmlformats.org/officeDocument/2006/relationships">
  <dimension ref="A1:P994"/>
  <sheetViews>
    <sheetView workbookViewId="0"/>
  </sheetViews>
  <sheetData>
    <row r="1">
      <c r="G1" t="str">
        <v>MỤC TIÊU ĐẦU KỲ</v>
      </c>
      <c r="J1" t="str">
        <v>KẾT QUẢ CUỐI KỲ</v>
      </c>
      <c r="N1" t="str">
        <v>MỨC ĐỘ HOÀN THÀNH</v>
      </c>
    </row>
    <row r="2">
      <c r="G2" t="str">
        <v>Kỷ luật</v>
      </c>
      <c r="H2" t="str">
        <v>Học tập</v>
      </c>
      <c r="J2" t="str">
        <v>Kỷ luật</v>
      </c>
      <c r="K2" t="str">
        <v>Học tập</v>
      </c>
      <c r="N2" t="str">
        <v>Kỷ luật</v>
      </c>
      <c r="O2" t="str">
        <v>Học tập</v>
      </c>
    </row>
    <row r="3">
      <c r="A3" t="str">
        <v>Chương trình</v>
      </c>
      <c r="B3" t="str">
        <v>Kỳ học</v>
      </c>
      <c r="C3" t="str">
        <v>Khóa</v>
      </c>
      <c r="D3" t="str">
        <v>Môn</v>
      </c>
      <c r="E3" t="str">
        <v>Số lượng GV</v>
      </c>
      <c r="F3" t="str">
        <v>Số lượng sinh viên</v>
      </c>
      <c r="G3" t="str">
        <v>Tỉ lệ đi học đầy đủ</v>
      </c>
      <c r="H3" t="str">
        <v xml:space="preserve">Mục tiêu pass 1st </v>
      </c>
      <c r="I3" t="str">
        <v>Mục tiêu nộp bài/ thi lần đầu đúng hạn</v>
      </c>
      <c r="J3" t="str">
        <v>Tỉ lệ đi học đầy đủ</v>
      </c>
      <c r="K3" t="str">
        <v xml:space="preserve">Tỉ lệ pass 1st </v>
      </c>
      <c r="L3" t="str">
        <v>Tỉ lệ pass sau Resit</v>
      </c>
      <c r="M3" t="str">
        <v xml:space="preserve">Tỷ lệ nộp bài/thi lần đầu đúng hạn </v>
      </c>
      <c r="N3" t="str">
        <v>Tỉ lệ đi học đầy đủ</v>
      </c>
      <c r="O3" t="str">
        <v>Tỉ lệ pass (Điểm hiệu suất học tập sau khi đã tính bù điểm Resit)</v>
      </c>
      <c r="P3" t="str">
        <v xml:space="preserve">Tỷ lệ nộp bài/thi lần đầu đúng hạn </v>
      </c>
    </row>
    <row r="4">
      <c r="A4" t="str">
        <v>Năm 1</v>
      </c>
      <c r="B4" t="str">
        <v>SEM 2</v>
      </c>
      <c r="C4" t="str">
        <v>I21 MT</v>
      </c>
      <c r="D4" t="str">
        <v>ENGLISH (Upper -Intermediate Level 3)</v>
      </c>
      <c r="E4">
        <v>13</v>
      </c>
      <c r="F4">
        <v>85</v>
      </c>
      <c r="G4">
        <v>0.9</v>
      </c>
      <c r="H4">
        <v>0.7</v>
      </c>
      <c r="I4">
        <v>1</v>
      </c>
      <c r="J4">
        <f>83/85</f>
        <v>0.9764705882</v>
      </c>
      <c r="K4">
        <f>57/71</f>
        <v>0.8028169014</v>
      </c>
      <c r="L4">
        <f>13/26</f>
        <v>0.5</v>
      </c>
      <c r="M4">
        <v>1</v>
      </c>
      <c r="N4">
        <f>J4/G4</f>
        <v>1.08496732</v>
      </c>
      <c r="O4">
        <f>IF((K4/H4) &gt;= 1, K4/H4, MIN(1, (K4/H4) + ((L4/H4)*1)))</f>
        <v>1.146881288</v>
      </c>
      <c r="P4">
        <f>M4/I4</f>
        <v>1</v>
      </c>
    </row>
    <row r="5">
      <c r="D5" t="str">
        <v>ENGLISH (Advanced Level 4)</v>
      </c>
      <c r="E5">
        <v>11</v>
      </c>
      <c r="F5">
        <v>92</v>
      </c>
      <c r="G5">
        <v>0.9</v>
      </c>
      <c r="H5">
        <v>0.5</v>
      </c>
      <c r="I5">
        <v>0.95</v>
      </c>
      <c r="J5">
        <f>91/92</f>
        <v>0.9891304348</v>
      </c>
      <c r="K5">
        <f>36/77</f>
        <v>0.4675324675</v>
      </c>
      <c r="L5">
        <f>33/55</f>
        <v>0.6</v>
      </c>
      <c r="M5">
        <f>90/91</f>
        <v>0.989010989</v>
      </c>
      <c r="N5">
        <f>J5/G5</f>
        <v>1.099033816</v>
      </c>
      <c r="O5">
        <f>IF((K5/H5) &gt;= 1, K5/H5, MIN(1, (K5/H5) + ((L5/H5)*1)))</f>
        <v>1</v>
      </c>
      <c r="P5">
        <f>M5/I5</f>
        <v>1.041064199</v>
      </c>
    </row>
    <row r="6">
      <c r="D6" t="str">
        <v>Basic Economics</v>
      </c>
      <c r="E6">
        <v>2</v>
      </c>
      <c r="F6">
        <v>83</v>
      </c>
      <c r="G6">
        <v>0.85</v>
      </c>
      <c r="H6">
        <v>0.7</v>
      </c>
      <c r="I6">
        <v>0.95</v>
      </c>
      <c r="J6">
        <v>0.94</v>
      </c>
      <c r="K6">
        <f>65/(83-5)</f>
        <v>0.8333333333</v>
      </c>
      <c r="L6">
        <f>7/15</f>
        <v>0.4666666667</v>
      </c>
      <c r="M6">
        <v>0.97</v>
      </c>
      <c r="N6">
        <f>J6/G6</f>
        <v>1.105882353</v>
      </c>
      <c r="O6">
        <f>IF((K6/H6) &gt;= 1, K6/H6, MIN(1, (K6/H6) + ((L6/H6)*1)))</f>
        <v>1.19047619</v>
      </c>
      <c r="P6">
        <f>M6/I6</f>
        <v>1.021052632</v>
      </c>
    </row>
    <row r="7">
      <c r="C7" t="str">
        <v>I22 MX</v>
      </c>
      <c r="D7" t="str">
        <v>ENGLISH (Intermediate Level 2)</v>
      </c>
      <c r="E7">
        <v>2</v>
      </c>
      <c r="F7">
        <v>32</v>
      </c>
      <c r="G7">
        <v>0.9</v>
      </c>
      <c r="H7">
        <v>0.7</v>
      </c>
      <c r="I7">
        <v>1</v>
      </c>
      <c r="J7">
        <f>32/32</f>
        <v>1</v>
      </c>
      <c r="K7">
        <f>16/19</f>
        <v>0.8421052632</v>
      </c>
      <c r="L7">
        <f>11/14</f>
        <v>0.7857142857</v>
      </c>
      <c r="M7">
        <v>1</v>
      </c>
      <c r="N7">
        <f>J7/G7</f>
        <v>1.111111111</v>
      </c>
      <c r="O7">
        <f>IF((K7/H7) &gt;= 1, K7/H7, MIN(1, (K7/H7) + ((L7/H7)*1)))</f>
        <v>1.203007519</v>
      </c>
      <c r="P7">
        <f>M7/I7</f>
        <v>1</v>
      </c>
    </row>
    <row r="8">
      <c r="D8" t="str">
        <v>ENGLISH (Upper -Intermediate Level 3)</v>
      </c>
      <c r="E8">
        <v>2</v>
      </c>
      <c r="F8">
        <v>37</v>
      </c>
      <c r="G8">
        <v>0.9</v>
      </c>
      <c r="H8">
        <v>0.7</v>
      </c>
      <c r="I8">
        <v>0.95</v>
      </c>
      <c r="J8">
        <f>36/37</f>
        <v>0.972972973</v>
      </c>
      <c r="K8">
        <f>23/36</f>
        <v>0.6388888889</v>
      </c>
      <c r="L8">
        <f>2/5</f>
        <v>0.4</v>
      </c>
      <c r="M8">
        <f>37/37</f>
        <v>1</v>
      </c>
      <c r="N8">
        <f>J8/G8</f>
        <v>1.081081081</v>
      </c>
      <c r="O8">
        <f>IF((K8/H8) &gt;= 1, K8/H8, MIN(1, (K8/H8) + ((L8/H8)*1)))</f>
        <v>1</v>
      </c>
      <c r="P8">
        <f>M8/I8</f>
        <v>1.052631579</v>
      </c>
    </row>
    <row r="9">
      <c r="D9" t="str">
        <v>Study skills</v>
      </c>
      <c r="E9">
        <v>2</v>
      </c>
      <c r="F9">
        <v>75</v>
      </c>
      <c r="G9">
        <v>0.85</v>
      </c>
      <c r="H9">
        <v>0.7</v>
      </c>
      <c r="I9">
        <v>0.95</v>
      </c>
      <c r="J9">
        <v>0.88</v>
      </c>
      <c r="K9">
        <f>31/64</f>
        <v>0.484375</v>
      </c>
      <c r="L9">
        <v>0.78</v>
      </c>
      <c r="M9">
        <v>0.96</v>
      </c>
      <c r="N9">
        <f>J9/G9</f>
        <v>1.035294118</v>
      </c>
      <c r="O9">
        <f>IF((K9/H9) &gt;= 1, K9/H9, MIN(1, (K9/H9) + ((L9/H9)*1)))</f>
        <v>1</v>
      </c>
      <c r="P9">
        <f>M9/I9</f>
        <v>1.010526316</v>
      </c>
    </row>
    <row r="11">
      <c r="B11" t="str">
        <v>Người Duyệt</v>
      </c>
      <c r="D11" t="str">
        <v>Người đánh giá</v>
      </c>
      <c r="H11" t="str">
        <v>Người được đánh giá</v>
      </c>
    </row>
    <row r="16">
      <c r="B16" t="str">
        <v>Trưởng Ban</v>
      </c>
      <c r="D16" t="str">
        <v>Cán bộ quản lý trực tiếp</v>
      </c>
      <c r="H16" t="str">
        <v>Bùi Thị Quỳnh Trang</v>
      </c>
    </row>
  </sheetData>
  <mergeCells count="14">
    <mergeCell ref="B4:B9"/>
    <mergeCell ref="C4:C6"/>
    <mergeCell ref="C7:C9"/>
    <mergeCell ref="B12:B15"/>
    <mergeCell ref="H11:K11"/>
    <mergeCell ref="K12:K15"/>
    <mergeCell ref="H16:K16"/>
    <mergeCell ref="G1:I1"/>
    <mergeCell ref="J1:M1"/>
    <mergeCell ref="N1:P1"/>
    <mergeCell ref="H2:I2"/>
    <mergeCell ref="K2:M2"/>
    <mergeCell ref="O2:P2"/>
    <mergeCell ref="A4:A9"/>
  </mergeCells>
  <pageMargins left="0.7" right="0.7" top="0.75" bottom="0.75" header="0" footer="0"/>
  <ignoredErrors>
    <ignoredError numberStoredAsText="1" sqref="A1:P994"/>
  </ignoredErrors>
</worksheet>
</file>

<file path=xl/worksheets/sheet3.xml><?xml version="1.0" encoding="utf-8"?>
<worksheet xmlns="http://schemas.openxmlformats.org/spreadsheetml/2006/main" xmlns:r="http://schemas.openxmlformats.org/officeDocument/2006/relationships">
  <dimension ref="A1:X224"/>
  <sheetViews>
    <sheetView workbookViewId="0"/>
  </sheetViews>
  <cols>
    <col min="1" max="1" customWidth="1" width="6"/>
    <col min="2" max="2" customWidth="1" width="10"/>
    <col min="3" max="3" customWidth="1" width="28"/>
    <col min="4" max="4" customWidth="1" width="30"/>
    <col min="5" max="5" customWidth="1" width="16"/>
    <col min="6" max="6" customWidth="1" width="10"/>
    <col min="7" max="7" customWidth="1" width="14"/>
    <col min="8" max="8" customWidth="1" width="16"/>
    <col min="9" max="9" customWidth="1" width="38"/>
    <col min="10" max="10" customWidth="1" width="24"/>
    <col min="11" max="11" customWidth="1" width="10"/>
    <col min="12" max="12" customWidth="1" width="10"/>
    <col min="13" max="13" customWidth="1" width="16"/>
    <col min="14" max="14" customWidth="1" width="16"/>
    <col min="15" max="15" customWidth="1" width="16"/>
    <col min="16" max="16" customWidth="1" width="16"/>
    <col min="17" max="17" customWidth="1" width="16"/>
    <col min="18" max="18" customWidth="1" width="16"/>
    <col min="19" max="19" customWidth="1" width="16"/>
    <col min="20" max="20" customWidth="1" width="18"/>
    <col min="21" max="21" customWidth="1" width="22"/>
    <col min="22" max="22" customWidth="1" width="18"/>
    <col min="23" max="23" customWidth="1" width="20"/>
    <col min="24" max="24" customWidth="1" width="20"/>
  </cols>
  <sheetData>
    <row r="1">
      <c r="A1" t="str">
        <v>STT</v>
      </c>
      <c r="B1" t="str">
        <v>Mã CT</v>
      </c>
      <c r="C1" t="str">
        <v>Tên chương trình</v>
      </c>
      <c r="D1" t="str">
        <v>Khung đào tạo</v>
      </c>
      <c r="E1" t="str">
        <v>Khóa / Lớp</v>
      </c>
      <c r="F1" t="str">
        <v>Năm học</v>
      </c>
      <c r="G1" t="str">
        <v>Kỳ học</v>
      </c>
      <c r="H1" t="str">
        <v>Mã môn</v>
      </c>
      <c r="I1" t="str">
        <v>Tên môn học</v>
      </c>
      <c r="J1" t="str">
        <v>Điều phối viên phụ trách</v>
      </c>
      <c r="K1" t="str">
        <v>Số lượng GV</v>
      </c>
      <c r="L1" t="str">
        <v>Số lượng SV</v>
      </c>
      <c r="M1" t="str">
        <v>Mục tiêu Đi học đầy đủ (%)</v>
      </c>
      <c r="N1" t="str">
        <v>Mục tiêu Pass 1st (%)</v>
      </c>
      <c r="O1" t="str">
        <v>Mục tiêu Nộp bài đúng hạn (%)</v>
      </c>
      <c r="P1" t="str">
        <v>Kết quả Đi học đầy đủ (%)</v>
      </c>
      <c r="Q1" t="str">
        <v>Kết quả Pass 1st (%)</v>
      </c>
      <c r="R1" t="str">
        <v>Kết quả Pass sau Resit (%)</v>
      </c>
      <c r="S1" t="str">
        <v>Kết quả Nộp bài đúng hạn (%)</v>
      </c>
      <c r="T1" t="str">
        <v>Mức hoàn thành Đi học (%)</v>
      </c>
      <c r="U1" t="str">
        <v>Mức hoàn thành Pass bù Resit (%)</v>
      </c>
      <c r="V1" t="str">
        <v>Mức hoàn thành Nộp bài (%)</v>
      </c>
      <c r="W1" t="str">
        <v>Hoàn thành chung Môn (%)</v>
      </c>
      <c r="X1" t="str">
        <v>Phân loại kỳ đánh giá</v>
      </c>
    </row>
    <row r="2">
      <c r="A2">
        <v>1</v>
      </c>
      <c r="B2" t="str">
        <v>NAM1</v>
      </c>
      <c r="C2" t="str">
        <v>Chương trình Năm 1</v>
      </c>
      <c r="D2" t="str">
        <v>Năm nhất (Level Tiếng Anh &amp; Môn cơ sở)</v>
      </c>
      <c r="E2" t="str">
        <v>I21 MT</v>
      </c>
      <c r="F2" t="str">
        <v>Năm 1</v>
      </c>
      <c r="G2" t="str">
        <v>SEM FALL</v>
      </c>
      <c r="H2" t="str">
        <v>Level 1</v>
      </c>
      <c r="I2" t="str">
        <v>ENGLISH (Elementary - pre Intermediate Level)</v>
      </c>
      <c r="J2" t="str">
        <v>Bùi Thị Quỳnh Trang</v>
      </c>
      <c r="K2">
        <v>2</v>
      </c>
      <c r="L2">
        <v>45</v>
      </c>
      <c r="M2">
        <v>90</v>
      </c>
      <c r="N2">
        <v>70</v>
      </c>
      <c r="O2">
        <v>95</v>
      </c>
      <c r="P2">
        <v>92</v>
      </c>
      <c r="Q2">
        <v>88</v>
      </c>
      <c r="R2" t="str">
        <v>N/A</v>
      </c>
      <c r="S2">
        <v>91</v>
      </c>
      <c r="T2">
        <f>IF(OR(M2="N/A",P2="N/A"),"N/A",ROUND(P2/M2*100,1))</f>
      </c>
      <c r="U2">
        <f>IF(OR(N2="N/A",Q2="N/A"),"N/A",ROUND(IF(Q2/N2&gt;=1,Q2/N2,MIN(1,(Q2/N2)+(IF(OR(R2="N/A",R2=""),0,R2/N2))))*100,1))</f>
      </c>
      <c r="V2">
        <f>IF(OR(O2="N/A",S2="N/A"),"N/A",ROUND(S2/O2*100,1))</f>
      </c>
      <c r="W2">
        <f>IF(COUNT(T2:V2)&gt;0,ROUND(AVERAGE(T2:V2),1),"N/A")</f>
      </c>
      <c r="X2" t="str">
        <v>Kỳ học theo khóa</v>
      </c>
    </row>
    <row r="3">
      <c r="A3">
        <v>2</v>
      </c>
      <c r="B3" t="str">
        <v>NAM1</v>
      </c>
      <c r="C3" t="str">
        <v>Chương trình Năm 1</v>
      </c>
      <c r="D3" t="str">
        <v>Năm nhất (Level Tiếng Anh &amp; Môn cơ sở)</v>
      </c>
      <c r="E3" t="str">
        <v>I22 MT</v>
      </c>
      <c r="F3" t="str">
        <v>Năm 1</v>
      </c>
      <c r="G3" t="str">
        <v>SEM FALL</v>
      </c>
      <c r="H3" t="str">
        <v>Level 1</v>
      </c>
      <c r="I3" t="str">
        <v>Welcome to University</v>
      </c>
      <c r="J3" t="str">
        <v>Bùi Thị Quỳnh Trang</v>
      </c>
      <c r="K3">
        <v>2</v>
      </c>
      <c r="L3">
        <v>50</v>
      </c>
      <c r="M3">
        <v>90</v>
      </c>
      <c r="N3">
        <v>70</v>
      </c>
      <c r="O3">
        <v>95</v>
      </c>
      <c r="P3">
        <v>0</v>
      </c>
      <c r="Q3">
        <v>0</v>
      </c>
      <c r="R3" t="str">
        <v>N/A</v>
      </c>
      <c r="S3">
        <v>0</v>
      </c>
      <c r="T3">
        <f>IF(OR(M3="N/A",P3="N/A"),"N/A",ROUND(P3/M3*100,1))</f>
      </c>
      <c r="U3">
        <f>IF(OR(N3="N/A",Q3="N/A"),"N/A",ROUND(IF(Q3/N3&gt;=1,Q3/N3,MIN(1,(Q3/N3)+(IF(OR(R3="N/A",R3=""),0,R3/N3))))*100,1))</f>
      </c>
      <c r="V3">
        <f>IF(OR(O3="N/A",S3="N/A"),"N/A",ROUND(S3/O3*100,1))</f>
      </c>
      <c r="W3">
        <f>IF(COUNT(T3:V3)&gt;0,ROUND(AVERAGE(T3:V3),1),"N/A")</f>
      </c>
      <c r="X3" t="str">
        <v>Kỳ học theo khóa</v>
      </c>
    </row>
    <row r="4">
      <c r="A4">
        <v>3</v>
      </c>
      <c r="B4" t="str">
        <v>NAM1</v>
      </c>
      <c r="C4" t="str">
        <v>Chương trình Năm 1</v>
      </c>
      <c r="D4" t="str">
        <v>Năm nhất (Level Tiếng Anh &amp; Môn cơ sở)</v>
      </c>
      <c r="E4" t="str">
        <v>I21 MT</v>
      </c>
      <c r="F4" t="str">
        <v>Năm 1</v>
      </c>
      <c r="G4" t="str">
        <v>SEM FALL</v>
      </c>
      <c r="H4" t="str">
        <v>Môn cơ sở</v>
      </c>
      <c r="I4" t="str">
        <v>Welcome to University</v>
      </c>
      <c r="J4" t="str">
        <v>Bùi Thị Quỳnh Trang</v>
      </c>
      <c r="K4">
        <v>2</v>
      </c>
      <c r="L4">
        <v>45</v>
      </c>
      <c r="M4">
        <v>90</v>
      </c>
      <c r="N4">
        <v>70</v>
      </c>
      <c r="O4">
        <v>95</v>
      </c>
      <c r="P4">
        <v>92</v>
      </c>
      <c r="Q4">
        <v>88</v>
      </c>
      <c r="R4" t="str">
        <v>N/A</v>
      </c>
      <c r="S4">
        <v>91</v>
      </c>
      <c r="T4">
        <f>IF(OR(M4="N/A",P4="N/A"),"N/A",ROUND(P4/M4*100,1))</f>
      </c>
      <c r="U4">
        <f>IF(OR(N4="N/A",Q4="N/A"),"N/A",ROUND(IF(Q4/N4&gt;=1,Q4/N4,MIN(1,(Q4/N4)+(IF(OR(R4="N/A",R4=""),0,R4/N4))))*100,1))</f>
      </c>
      <c r="V4">
        <f>IF(OR(O4="N/A",S4="N/A"),"N/A",ROUND(S4/O4*100,1))</f>
      </c>
      <c r="W4">
        <f>IF(COUNT(T4:V4)&gt;0,ROUND(AVERAGE(T4:V4),1),"N/A")</f>
      </c>
      <c r="X4" t="str">
        <v>Kỳ học theo khóa</v>
      </c>
    </row>
    <row r="5">
      <c r="A5">
        <v>4</v>
      </c>
      <c r="B5" t="str">
        <v>NAM1</v>
      </c>
      <c r="C5" t="str">
        <v>Chương trình Năm 1</v>
      </c>
      <c r="D5" t="str">
        <v>Năm nhất (Level Tiếng Anh &amp; Môn cơ sở)</v>
      </c>
      <c r="E5" t="str">
        <v>I22 MX</v>
      </c>
      <c r="F5" t="str">
        <v>Năm 1</v>
      </c>
      <c r="G5" t="str">
        <v>SEM SPRING</v>
      </c>
      <c r="H5" t="str">
        <v>Level 2</v>
      </c>
      <c r="I5" t="str">
        <v>ENGLISH (Intermediate Level)</v>
      </c>
      <c r="J5" t="str">
        <v>Bùi Thị Quỳnh Trang</v>
      </c>
      <c r="K5">
        <v>2</v>
      </c>
      <c r="L5">
        <v>32</v>
      </c>
      <c r="M5">
        <v>90</v>
      </c>
      <c r="N5">
        <v>70</v>
      </c>
      <c r="O5">
        <v>100</v>
      </c>
      <c r="P5">
        <v>100</v>
      </c>
      <c r="Q5">
        <v>84.2</v>
      </c>
      <c r="R5" t="str">
        <v>N/A</v>
      </c>
      <c r="S5">
        <v>100</v>
      </c>
      <c r="T5">
        <f>IF(OR(M5="N/A",P5="N/A"),"N/A",ROUND(P5/M5*100,1))</f>
      </c>
      <c r="U5">
        <f>IF(OR(N5="N/A",Q5="N/A"),"N/A",ROUND(IF(Q5/N5&gt;=1,Q5/N5,MIN(1,(Q5/N5)+(IF(OR(R5="N/A",R5=""),0,R5/N5))))*100,1))</f>
      </c>
      <c r="V5">
        <f>IF(OR(O5="N/A",S5="N/A"),"N/A",ROUND(S5/O5*100,1))</f>
      </c>
      <c r="W5">
        <f>IF(COUNT(T5:V5)&gt;0,ROUND(AVERAGE(T5:V5),1),"N/A")</f>
      </c>
      <c r="X5" t="str">
        <v>Kỳ 2 (Kỳ hiện tại)</v>
      </c>
    </row>
    <row r="6">
      <c r="A6">
        <v>5</v>
      </c>
      <c r="B6" t="str">
        <v>NAM1</v>
      </c>
      <c r="C6" t="str">
        <v>Chương trình Năm 1</v>
      </c>
      <c r="D6" t="str">
        <v>Năm nhất (Level Tiếng Anh &amp; Môn cơ sở)</v>
      </c>
      <c r="E6" t="str">
        <v>I22 MT</v>
      </c>
      <c r="F6" t="str">
        <v>Năm 1</v>
      </c>
      <c r="G6" t="str">
        <v>SEM SPRING</v>
      </c>
      <c r="H6" t="str">
        <v>Level 2</v>
      </c>
      <c r="I6" t="str">
        <v>ENGLISH (Intermediate Level)</v>
      </c>
      <c r="J6" t="str">
        <v>Bùi Thị Quỳnh Trang</v>
      </c>
      <c r="K6">
        <v>2</v>
      </c>
      <c r="L6">
        <v>50</v>
      </c>
      <c r="M6">
        <v>90</v>
      </c>
      <c r="N6">
        <v>70</v>
      </c>
      <c r="O6">
        <v>95</v>
      </c>
      <c r="P6">
        <v>0</v>
      </c>
      <c r="Q6">
        <v>0</v>
      </c>
      <c r="R6" t="str">
        <v>N/A</v>
      </c>
      <c r="S6">
        <v>0</v>
      </c>
      <c r="T6">
        <f>IF(OR(M6="N/A",P6="N/A"),"N/A",ROUND(P6/M6*100,1))</f>
      </c>
      <c r="U6">
        <f>IF(OR(N6="N/A",Q6="N/A"),"N/A",ROUND(IF(Q6/N6&gt;=1,Q6/N6,MIN(1,(Q6/N6)+(IF(OR(R6="N/A",R6=""),0,R6/N6))))*100,1))</f>
      </c>
      <c r="V6">
        <f>IF(OR(O6="N/A",S6="N/A"),"N/A",ROUND(S6/O6*100,1))</f>
      </c>
      <c r="W6">
        <f>IF(COUNT(T6:V6)&gt;0,ROUND(AVERAGE(T6:V6),1),"N/A")</f>
      </c>
      <c r="X6" t="str">
        <v>Kỳ 2 (Kỳ hiện tại)</v>
      </c>
    </row>
    <row r="7">
      <c r="A7">
        <v>6</v>
      </c>
      <c r="B7" t="str">
        <v>NAM1</v>
      </c>
      <c r="C7" t="str">
        <v>Chương trình Năm 1</v>
      </c>
      <c r="D7" t="str">
        <v>Năm nhất (Level Tiếng Anh &amp; Môn cơ sở)</v>
      </c>
      <c r="E7" t="str">
        <v>I21 MT</v>
      </c>
      <c r="F7" t="str">
        <v>Năm 1</v>
      </c>
      <c r="G7" t="str">
        <v>SEM SPRING</v>
      </c>
      <c r="H7" t="str">
        <v>Level 3</v>
      </c>
      <c r="I7" t="str">
        <v>ENGLISH (Upper -Intermediate Level)</v>
      </c>
      <c r="J7" t="str">
        <v>Bùi Thị Quỳnh Trang</v>
      </c>
      <c r="K7">
        <v>13</v>
      </c>
      <c r="L7">
        <v>85</v>
      </c>
      <c r="M7">
        <v>90</v>
      </c>
      <c r="N7">
        <v>70</v>
      </c>
      <c r="O7">
        <v>100</v>
      </c>
      <c r="P7">
        <v>97.6</v>
      </c>
      <c r="Q7">
        <v>80.3</v>
      </c>
      <c r="R7" t="str">
        <v>N/A</v>
      </c>
      <c r="S7">
        <v>100</v>
      </c>
      <c r="T7">
        <f>IF(OR(M7="N/A",P7="N/A"),"N/A",ROUND(P7/M7*100,1))</f>
      </c>
      <c r="U7">
        <f>IF(OR(N7="N/A",Q7="N/A"),"N/A",ROUND(IF(Q7/N7&gt;=1,Q7/N7,MIN(1,(Q7/N7)+(IF(OR(R7="N/A",R7=""),0,R7/N7))))*100,1))</f>
      </c>
      <c r="V7">
        <f>IF(OR(O7="N/A",S7="N/A"),"N/A",ROUND(S7/O7*100,1))</f>
      </c>
      <c r="W7">
        <f>IF(COUNT(T7:V7)&gt;0,ROUND(AVERAGE(T7:V7),1),"N/A")</f>
      </c>
      <c r="X7" t="str">
        <v>Kỳ 2 (Kỳ hiện tại)</v>
      </c>
    </row>
    <row r="8">
      <c r="A8">
        <v>7</v>
      </c>
      <c r="B8" t="str">
        <v>NAM1</v>
      </c>
      <c r="C8" t="str">
        <v>Chương trình Năm 1</v>
      </c>
      <c r="D8" t="str">
        <v>Năm nhất (Level Tiếng Anh &amp; Môn cơ sở)</v>
      </c>
      <c r="E8" t="str">
        <v>I22 MX</v>
      </c>
      <c r="F8" t="str">
        <v>Năm 1</v>
      </c>
      <c r="G8" t="str">
        <v>SEM SPRING</v>
      </c>
      <c r="H8" t="str">
        <v>Level 3</v>
      </c>
      <c r="I8" t="str">
        <v>ENGLISH (Upper -Intermediate Level)</v>
      </c>
      <c r="J8" t="str">
        <v>Bùi Thị Quỳnh Trang</v>
      </c>
      <c r="K8">
        <v>2</v>
      </c>
      <c r="L8">
        <v>39</v>
      </c>
      <c r="M8" t="str">
        <v>N/A</v>
      </c>
      <c r="N8" t="str">
        <v>N/A</v>
      </c>
      <c r="O8" t="str">
        <v>N/A</v>
      </c>
      <c r="P8" t="str">
        <v>N/A</v>
      </c>
      <c r="Q8" t="str">
        <v>N/A</v>
      </c>
      <c r="R8" t="str">
        <v>N/A</v>
      </c>
      <c r="S8" t="str">
        <v>N/A</v>
      </c>
      <c r="T8">
        <f>IF(OR(M8="N/A",P8="N/A"),"N/A",ROUND(P8/M8*100,1))</f>
      </c>
      <c r="U8">
        <f>IF(OR(N8="N/A",Q8="N/A"),"N/A",ROUND(IF(Q8/N8&gt;=1,Q8/N8,MIN(1,(Q8/N8)+(IF(OR(R8="N/A",R8=""),0,R8/N8))))*100,1))</f>
      </c>
      <c r="V8">
        <f>IF(OR(O8="N/A",S8="N/A"),"N/A",ROUND(S8/O8*100,1))</f>
      </c>
      <c r="W8">
        <f>IF(COUNT(T8:V8)&gt;0,ROUND(AVERAGE(T8:V8),1),"N/A")</f>
      </c>
      <c r="X8" t="str">
        <v>Kỳ 2 (Kỳ hiện tại)</v>
      </c>
    </row>
    <row r="9">
      <c r="A9">
        <v>8</v>
      </c>
      <c r="B9" t="str">
        <v>NAM1</v>
      </c>
      <c r="C9" t="str">
        <v>Chương trình Năm 1</v>
      </c>
      <c r="D9" t="str">
        <v>Năm nhất (Level Tiếng Anh &amp; Môn cơ sở)</v>
      </c>
      <c r="E9" t="str">
        <v>I22 MT</v>
      </c>
      <c r="F9" t="str">
        <v>Năm 1</v>
      </c>
      <c r="G9" t="str">
        <v>SEM SPRING</v>
      </c>
      <c r="H9" t="str">
        <v>Level 3</v>
      </c>
      <c r="I9" t="str">
        <v>ENGLISH (Upper -Intermediate Level)</v>
      </c>
      <c r="J9" t="str">
        <v>Bùi Thị Quỳnh Trang</v>
      </c>
      <c r="K9">
        <v>2</v>
      </c>
      <c r="L9">
        <v>50</v>
      </c>
      <c r="M9">
        <v>90</v>
      </c>
      <c r="N9">
        <v>70</v>
      </c>
      <c r="O9">
        <v>95</v>
      </c>
      <c r="P9">
        <v>0</v>
      </c>
      <c r="Q9">
        <v>0</v>
      </c>
      <c r="R9" t="str">
        <v>N/A</v>
      </c>
      <c r="S9">
        <v>0</v>
      </c>
      <c r="T9">
        <f>IF(OR(M9="N/A",P9="N/A"),"N/A",ROUND(P9/M9*100,1))</f>
      </c>
      <c r="U9">
        <f>IF(OR(N9="N/A",Q9="N/A"),"N/A",ROUND(IF(Q9/N9&gt;=1,Q9/N9,MIN(1,(Q9/N9)+(IF(OR(R9="N/A",R9=""),0,R9/N9))))*100,1))</f>
      </c>
      <c r="V9">
        <f>IF(OR(O9="N/A",S9="N/A"),"N/A",ROUND(S9/O9*100,1))</f>
      </c>
      <c r="W9">
        <f>IF(COUNT(T9:V9)&gt;0,ROUND(AVERAGE(T9:V9),1),"N/A")</f>
      </c>
      <c r="X9" t="str">
        <v>Kỳ 2 (Kỳ hiện tại)</v>
      </c>
    </row>
    <row r="10">
      <c r="A10">
        <v>9</v>
      </c>
      <c r="B10" t="str">
        <v>NAM1</v>
      </c>
      <c r="C10" t="str">
        <v>Chương trình Năm 1</v>
      </c>
      <c r="D10" t="str">
        <v>Năm nhất (Level Tiếng Anh &amp; Môn cơ sở)</v>
      </c>
      <c r="E10" t="str">
        <v>I21 MT</v>
      </c>
      <c r="F10" t="str">
        <v>Năm 1</v>
      </c>
      <c r="G10" t="str">
        <v>SEM SPRING</v>
      </c>
      <c r="H10" t="str">
        <v>Level 4</v>
      </c>
      <c r="I10" t="str">
        <v>ENGLISH (Advanced Level)</v>
      </c>
      <c r="J10" t="str">
        <v>Bùi Thị Quỳnh Trang</v>
      </c>
      <c r="K10">
        <v>11</v>
      </c>
      <c r="L10">
        <v>92</v>
      </c>
      <c r="M10">
        <v>90</v>
      </c>
      <c r="N10">
        <v>50</v>
      </c>
      <c r="O10">
        <v>95</v>
      </c>
      <c r="P10">
        <v>98.9</v>
      </c>
      <c r="Q10">
        <v>46.8</v>
      </c>
      <c r="R10" t="str">
        <v>N/A</v>
      </c>
      <c r="S10">
        <v>98.9</v>
      </c>
      <c r="T10">
        <f>IF(OR(M10="N/A",P10="N/A"),"N/A",ROUND(P10/M10*100,1))</f>
      </c>
      <c r="U10">
        <f>IF(OR(N10="N/A",Q10="N/A"),"N/A",ROUND(IF(Q10/N10&gt;=1,Q10/N10,MIN(1,(Q10/N10)+(IF(OR(R10="N/A",R10=""),0,R10/N10))))*100,1))</f>
      </c>
      <c r="V10">
        <f>IF(OR(O10="N/A",S10="N/A"),"N/A",ROUND(S10/O10*100,1))</f>
      </c>
      <c r="W10">
        <f>IF(COUNT(T10:V10)&gt;0,ROUND(AVERAGE(T10:V10),1),"N/A")</f>
      </c>
      <c r="X10" t="str">
        <v>Kỳ 2 (Kỳ hiện tại)</v>
      </c>
    </row>
    <row r="11">
      <c r="A11">
        <v>10</v>
      </c>
      <c r="B11" t="str">
        <v>NAM1</v>
      </c>
      <c r="C11" t="str">
        <v>Chương trình Năm 1</v>
      </c>
      <c r="D11" t="str">
        <v>Năm nhất (Level Tiếng Anh &amp; Môn cơ sở)</v>
      </c>
      <c r="E11" t="str">
        <v>I22 MT</v>
      </c>
      <c r="F11" t="str">
        <v>Năm 1</v>
      </c>
      <c r="G11" t="str">
        <v>SEM SPRING</v>
      </c>
      <c r="H11" t="str">
        <v>Level 4</v>
      </c>
      <c r="I11" t="str">
        <v>ENGLISH (Advanced Level)</v>
      </c>
      <c r="J11" t="str">
        <v>Bùi Thị Quỳnh Trang</v>
      </c>
      <c r="K11">
        <v>2</v>
      </c>
      <c r="L11">
        <v>50</v>
      </c>
      <c r="M11">
        <v>90</v>
      </c>
      <c r="N11">
        <v>70</v>
      </c>
      <c r="O11">
        <v>95</v>
      </c>
      <c r="P11">
        <v>0</v>
      </c>
      <c r="Q11">
        <v>0</v>
      </c>
      <c r="R11" t="str">
        <v>N/A</v>
      </c>
      <c r="S11">
        <v>0</v>
      </c>
      <c r="T11">
        <f>IF(OR(M11="N/A",P11="N/A"),"N/A",ROUND(P11/M11*100,1))</f>
      </c>
      <c r="U11">
        <f>IF(OR(N11="N/A",Q11="N/A"),"N/A",ROUND(IF(Q11/N11&gt;=1,Q11/N11,MIN(1,(Q11/N11)+(IF(OR(R11="N/A",R11=""),0,R11/N11))))*100,1))</f>
      </c>
      <c r="V11">
        <f>IF(OR(O11="N/A",S11="N/A"),"N/A",ROUND(S11/O11*100,1))</f>
      </c>
      <c r="W11">
        <f>IF(COUNT(T11:V11)&gt;0,ROUND(AVERAGE(T11:V11),1),"N/A")</f>
      </c>
      <c r="X11" t="str">
        <v>Kỳ 2 (Kỳ hiện tại)</v>
      </c>
    </row>
    <row r="12">
      <c r="A12">
        <v>11</v>
      </c>
      <c r="B12" t="str">
        <v>NAM1</v>
      </c>
      <c r="C12" t="str">
        <v>Chương trình Năm 1</v>
      </c>
      <c r="D12" t="str">
        <v>Năm nhất (Level Tiếng Anh &amp; Môn cơ sở)</v>
      </c>
      <c r="E12" t="str">
        <v>I21 MT</v>
      </c>
      <c r="F12" t="str">
        <v>Năm 1</v>
      </c>
      <c r="G12" t="str">
        <v>SEM SPRING</v>
      </c>
      <c r="H12" t="str">
        <v>Môn cơ sở</v>
      </c>
      <c r="I12" t="str">
        <v>Basic Economics</v>
      </c>
      <c r="J12" t="str">
        <v>Bùi Thị Quỳnh Trang</v>
      </c>
      <c r="K12">
        <v>2</v>
      </c>
      <c r="L12">
        <v>83</v>
      </c>
      <c r="M12">
        <v>85</v>
      </c>
      <c r="N12">
        <v>70</v>
      </c>
      <c r="O12">
        <v>95</v>
      </c>
      <c r="P12">
        <v>94</v>
      </c>
      <c r="Q12">
        <v>83.3</v>
      </c>
      <c r="R12" t="str">
        <v>N/A</v>
      </c>
      <c r="S12">
        <v>97</v>
      </c>
      <c r="T12">
        <f>IF(OR(M12="N/A",P12="N/A"),"N/A",ROUND(P12/M12*100,1))</f>
      </c>
      <c r="U12">
        <f>IF(OR(N12="N/A",Q12="N/A"),"N/A",ROUND(IF(Q12/N12&gt;=1,Q12/N12,MIN(1,(Q12/N12)+(IF(OR(R12="N/A",R12=""),0,R12/N12))))*100,1))</f>
      </c>
      <c r="V12">
        <f>IF(OR(O12="N/A",S12="N/A"),"N/A",ROUND(S12/O12*100,1))</f>
      </c>
      <c r="W12">
        <f>IF(COUNT(T12:V12)&gt;0,ROUND(AVERAGE(T12:V12),1),"N/A")</f>
      </c>
      <c r="X12" t="str">
        <v>Kỳ 2 (Kỳ hiện tại)</v>
      </c>
    </row>
    <row r="13">
      <c r="A13">
        <v>12</v>
      </c>
      <c r="B13" t="str">
        <v>NAM1</v>
      </c>
      <c r="C13" t="str">
        <v>Chương trình Năm 1</v>
      </c>
      <c r="D13" t="str">
        <v>Năm nhất (Level Tiếng Anh &amp; Môn cơ sở)</v>
      </c>
      <c r="E13" t="str">
        <v>I22 MX</v>
      </c>
      <c r="F13" t="str">
        <v>Năm 1</v>
      </c>
      <c r="G13" t="str">
        <v>SEM SPRING</v>
      </c>
      <c r="H13" t="str">
        <v>Môn cơ sở</v>
      </c>
      <c r="I13" t="str">
        <v>Study skills</v>
      </c>
      <c r="J13" t="str">
        <v>Bùi Thị Quỳnh Trang</v>
      </c>
      <c r="K13">
        <v>2</v>
      </c>
      <c r="L13">
        <v>75</v>
      </c>
      <c r="M13">
        <v>85</v>
      </c>
      <c r="N13">
        <v>70</v>
      </c>
      <c r="O13">
        <v>95</v>
      </c>
      <c r="P13">
        <v>88</v>
      </c>
      <c r="Q13">
        <v>48.4</v>
      </c>
      <c r="R13" t="str">
        <v>N/A</v>
      </c>
      <c r="S13">
        <v>96</v>
      </c>
      <c r="T13">
        <f>IF(OR(M13="N/A",P13="N/A"),"N/A",ROUND(P13/M13*100,1))</f>
      </c>
      <c r="U13">
        <f>IF(OR(N13="N/A",Q13="N/A"),"N/A",ROUND(IF(Q13/N13&gt;=1,Q13/N13,MIN(1,(Q13/N13)+(IF(OR(R13="N/A",R13=""),0,R13/N13))))*100,1))</f>
      </c>
      <c r="V13">
        <f>IF(OR(O13="N/A",S13="N/A"),"N/A",ROUND(S13/O13*100,1))</f>
      </c>
      <c r="W13">
        <f>IF(COUNT(T13:V13)&gt;0,ROUND(AVERAGE(T13:V13),1),"N/A")</f>
      </c>
      <c r="X13" t="str">
        <v>Kỳ 2 (Kỳ hiện tại)</v>
      </c>
    </row>
    <row r="14">
      <c r="A14">
        <v>13</v>
      </c>
      <c r="B14" t="str">
        <v>NAM1</v>
      </c>
      <c r="C14" t="str">
        <v>Chương trình Năm 1</v>
      </c>
      <c r="D14" t="str">
        <v>Năm nhất (Level Tiếng Anh &amp; Môn cơ sở)</v>
      </c>
      <c r="E14" t="str">
        <v>I21 MT</v>
      </c>
      <c r="F14" t="str">
        <v>Năm 1</v>
      </c>
      <c r="G14" t="str">
        <v>SEM SPRING</v>
      </c>
      <c r="H14" t="str">
        <v>Môn cơ sở</v>
      </c>
      <c r="I14" t="str">
        <v>Data Analysis and AI</v>
      </c>
      <c r="J14" t="str">
        <v>Bùi Thị Quỳnh Trang</v>
      </c>
      <c r="K14">
        <v>2</v>
      </c>
      <c r="L14">
        <v>45</v>
      </c>
      <c r="M14">
        <v>90</v>
      </c>
      <c r="N14">
        <v>70</v>
      </c>
      <c r="O14">
        <v>95</v>
      </c>
      <c r="P14">
        <v>92</v>
      </c>
      <c r="Q14">
        <v>88</v>
      </c>
      <c r="R14" t="str">
        <v>N/A</v>
      </c>
      <c r="S14">
        <v>91</v>
      </c>
      <c r="T14">
        <f>IF(OR(M14="N/A",P14="N/A"),"N/A",ROUND(P14/M14*100,1))</f>
      </c>
      <c r="U14">
        <f>IF(OR(N14="N/A",Q14="N/A"),"N/A",ROUND(IF(Q14/N14&gt;=1,Q14/N14,MIN(1,(Q14/N14)+(IF(OR(R14="N/A",R14=""),0,R14/N14))))*100,1))</f>
      </c>
      <c r="V14">
        <f>IF(OR(O14="N/A",S14="N/A"),"N/A",ROUND(S14/O14*100,1))</f>
      </c>
      <c r="W14">
        <f>IF(COUNT(T14:V14)&gt;0,ROUND(AVERAGE(T14:V14),1),"N/A")</f>
      </c>
      <c r="X14" t="str">
        <v>Kỳ 2 (Kỳ hiện tại)</v>
      </c>
    </row>
    <row r="15">
      <c r="A15">
        <v>14</v>
      </c>
      <c r="B15" t="str">
        <v>NAM1</v>
      </c>
      <c r="C15" t="str">
        <v>Chương trình Năm 1</v>
      </c>
      <c r="D15" t="str">
        <v>Năm nhất (Level Tiếng Anh &amp; Môn cơ sở)</v>
      </c>
      <c r="E15" t="str">
        <v>I22 MT</v>
      </c>
      <c r="F15" t="str">
        <v>Năm 1</v>
      </c>
      <c r="G15" t="str">
        <v>SEM SPRING</v>
      </c>
      <c r="H15" t="str">
        <v>Môn cơ sở</v>
      </c>
      <c r="I15" t="str">
        <v>Basic Economics</v>
      </c>
      <c r="J15" t="str">
        <v>Bùi Thị Quỳnh Trang</v>
      </c>
      <c r="K15">
        <v>2</v>
      </c>
      <c r="L15">
        <v>50</v>
      </c>
      <c r="M15">
        <v>90</v>
      </c>
      <c r="N15">
        <v>70</v>
      </c>
      <c r="O15">
        <v>95</v>
      </c>
      <c r="P15">
        <v>0</v>
      </c>
      <c r="Q15">
        <v>0</v>
      </c>
      <c r="R15" t="str">
        <v>N/A</v>
      </c>
      <c r="S15">
        <v>0</v>
      </c>
      <c r="T15">
        <f>IF(OR(M15="N/A",P15="N/A"),"N/A",ROUND(P15/M15*100,1))</f>
      </c>
      <c r="U15">
        <f>IF(OR(N15="N/A",Q15="N/A"),"N/A",ROUND(IF(Q15/N15&gt;=1,Q15/N15,MIN(1,(Q15/N15)+(IF(OR(R15="N/A",R15=""),0,R15/N15))))*100,1))</f>
      </c>
      <c r="V15">
        <f>IF(OR(O15="N/A",S15="N/A"),"N/A",ROUND(S15/O15*100,1))</f>
      </c>
      <c r="W15">
        <f>IF(COUNT(T15:V15)&gt;0,ROUND(AVERAGE(T15:V15),1),"N/A")</f>
      </c>
      <c r="X15" t="str">
        <v>Kỳ 2 (Kỳ hiện tại)</v>
      </c>
    </row>
    <row r="16">
      <c r="A16">
        <v>15</v>
      </c>
      <c r="B16" t="str">
        <v>NAM1</v>
      </c>
      <c r="C16" t="str">
        <v>Chương trình Năm 1</v>
      </c>
      <c r="D16" t="str">
        <v>Năm nhất (Level Tiếng Anh &amp; Môn cơ sở)</v>
      </c>
      <c r="E16" t="str">
        <v>I21 MT</v>
      </c>
      <c r="F16" t="str">
        <v>Năm 1</v>
      </c>
      <c r="G16" t="str">
        <v>SEM SUMMER</v>
      </c>
      <c r="H16" t="str">
        <v>Môn cơ sở</v>
      </c>
      <c r="I16" t="str">
        <v>Maths in Economic</v>
      </c>
      <c r="J16" t="str">
        <v>Bùi Thị Quỳnh Trang</v>
      </c>
      <c r="K16">
        <v>2</v>
      </c>
      <c r="L16">
        <v>45</v>
      </c>
      <c r="M16">
        <v>90</v>
      </c>
      <c r="N16">
        <v>70</v>
      </c>
      <c r="O16">
        <v>95</v>
      </c>
      <c r="P16">
        <v>92</v>
      </c>
      <c r="Q16">
        <v>88</v>
      </c>
      <c r="R16" t="str">
        <v>N/A</v>
      </c>
      <c r="S16">
        <v>91</v>
      </c>
      <c r="T16">
        <f>IF(OR(M16="N/A",P16="N/A"),"N/A",ROUND(P16/M16*100,1))</f>
      </c>
      <c r="U16">
        <f>IF(OR(N16="N/A",Q16="N/A"),"N/A",ROUND(IF(Q16/N16&gt;=1,Q16/N16,MIN(1,(Q16/N16)+(IF(OR(R16="N/A",R16=""),0,R16/N16))))*100,1))</f>
      </c>
      <c r="V16">
        <f>IF(OR(O16="N/A",S16="N/A"),"N/A",ROUND(S16/O16*100,1))</f>
      </c>
      <c r="W16">
        <f>IF(COUNT(T16:V16)&gt;0,ROUND(AVERAGE(T16:V16),1),"N/A")</f>
      </c>
      <c r="X16" t="str">
        <v>Kỳ học theo khóa</v>
      </c>
    </row>
    <row r="17">
      <c r="A17">
        <v>16</v>
      </c>
      <c r="B17" t="str">
        <v>BBAE</v>
      </c>
      <c r="C17" t="str">
        <v>BBAE - Cử nhân Khởi nghiệp &amp; PTKD</v>
      </c>
      <c r="D17" t="str">
        <v>Cử nhân cấp bằng (Full 4 năm)</v>
      </c>
      <c r="E17" t="str">
        <v>BBAE</v>
      </c>
      <c r="F17" t="str">
        <v>Năm 1</v>
      </c>
      <c r="G17" t="str">
        <v>SEM 1</v>
      </c>
      <c r="H17" t="str">
        <v>BBAE1106</v>
      </c>
      <c r="I17" t="str">
        <v>Cơ sở văn hóa VN</v>
      </c>
      <c r="J17" t="str">
        <v>Nguyễn Minh Tuấn</v>
      </c>
      <c r="K17">
        <v>2</v>
      </c>
      <c r="L17">
        <v>45</v>
      </c>
      <c r="M17">
        <v>90</v>
      </c>
      <c r="N17">
        <v>90</v>
      </c>
      <c r="O17">
        <v>90</v>
      </c>
      <c r="P17">
        <v>92</v>
      </c>
      <c r="Q17">
        <v>88</v>
      </c>
      <c r="R17" t="str">
        <v>N/A</v>
      </c>
      <c r="S17">
        <v>91</v>
      </c>
      <c r="T17">
        <f>IF(OR(M17="N/A",P17="N/A"),"N/A",ROUND(P17/M17*100,1))</f>
      </c>
      <c r="U17">
        <f>IF(OR(N17="N/A",Q17="N/A"),"N/A",ROUND(IF(Q17/N17&gt;=1,Q17/N17,MIN(1,(Q17/N17)+(IF(OR(R17="N/A",R17=""),0,R17/N17))))*100,1))</f>
      </c>
      <c r="V17">
        <f>IF(OR(O17="N/A",S17="N/A"),"N/A",ROUND(S17/O17*100,1))</f>
      </c>
      <c r="W17">
        <f>IF(COUNT(T17:V17)&gt;0,ROUND(AVERAGE(T17:V17),1),"N/A")</f>
      </c>
      <c r="X17" t="str">
        <v>Kỳ học theo khóa</v>
      </c>
    </row>
    <row r="18">
      <c r="A18">
        <v>17</v>
      </c>
      <c r="B18" t="str">
        <v>BBAE</v>
      </c>
      <c r="C18" t="str">
        <v>BBAE - Cử nhân Khởi nghiệp &amp; PTKD</v>
      </c>
      <c r="D18" t="str">
        <v>Cử nhân cấp bằng (Full 4 năm)</v>
      </c>
      <c r="E18" t="str">
        <v>BBAE</v>
      </c>
      <c r="F18" t="str">
        <v>Năm 1</v>
      </c>
      <c r="G18" t="str">
        <v>SEM 1</v>
      </c>
      <c r="H18" t="str">
        <v>BBAE1109</v>
      </c>
      <c r="I18" t="str">
        <v>Biology with lab</v>
      </c>
      <c r="J18" t="str">
        <v>Nguyễn Minh Tuấn</v>
      </c>
      <c r="K18">
        <v>2</v>
      </c>
      <c r="L18">
        <v>45</v>
      </c>
      <c r="M18">
        <v>90</v>
      </c>
      <c r="N18">
        <v>90</v>
      </c>
      <c r="O18">
        <v>90</v>
      </c>
      <c r="P18">
        <v>92</v>
      </c>
      <c r="Q18">
        <v>88</v>
      </c>
      <c r="R18" t="str">
        <v>N/A</v>
      </c>
      <c r="S18">
        <v>91</v>
      </c>
      <c r="T18">
        <f>IF(OR(M18="N/A",P18="N/A"),"N/A",ROUND(P18/M18*100,1))</f>
      </c>
      <c r="U18">
        <f>IF(OR(N18="N/A",Q18="N/A"),"N/A",ROUND(IF(Q18/N18&gt;=1,Q18/N18,MIN(1,(Q18/N18)+(IF(OR(R18="N/A",R18=""),0,R18/N18))))*100,1))</f>
      </c>
      <c r="V18">
        <f>IF(OR(O18="N/A",S18="N/A"),"N/A",ROUND(S18/O18*100,1))</f>
      </c>
      <c r="W18">
        <f>IF(COUNT(T18:V18)&gt;0,ROUND(AVERAGE(T18:V18),1),"N/A")</f>
      </c>
      <c r="X18" t="str">
        <v>Kỳ học theo khóa</v>
      </c>
    </row>
    <row r="19">
      <c r="A19">
        <v>18</v>
      </c>
      <c r="B19" t="str">
        <v>BBAE</v>
      </c>
      <c r="C19" t="str">
        <v>BBAE - Cử nhân Khởi nghiệp &amp; PTKD</v>
      </c>
      <c r="D19" t="str">
        <v>Cử nhân cấp bằng (Full 4 năm)</v>
      </c>
      <c r="E19" t="str">
        <v>BBAE</v>
      </c>
      <c r="F19" t="str">
        <v>Năm 1</v>
      </c>
      <c r="G19" t="str">
        <v>SEM 1</v>
      </c>
      <c r="H19" t="str">
        <v>BBAE1111</v>
      </c>
      <c r="I19" t="str">
        <v>Tiếng Anh 1</v>
      </c>
      <c r="J19" t="str">
        <v>Nguyễn Minh Tuấn</v>
      </c>
      <c r="K19">
        <v>2</v>
      </c>
      <c r="L19">
        <v>45</v>
      </c>
      <c r="M19">
        <v>90</v>
      </c>
      <c r="N19">
        <v>90</v>
      </c>
      <c r="O19">
        <v>90</v>
      </c>
      <c r="P19">
        <v>92</v>
      </c>
      <c r="Q19">
        <v>88</v>
      </c>
      <c r="R19" t="str">
        <v>N/A</v>
      </c>
      <c r="S19">
        <v>91</v>
      </c>
      <c r="T19">
        <f>IF(OR(M19="N/A",P19="N/A"),"N/A",ROUND(P19/M19*100,1))</f>
      </c>
      <c r="U19">
        <f>IF(OR(N19="N/A",Q19="N/A"),"N/A",ROUND(IF(Q19/N19&gt;=1,Q19/N19,MIN(1,(Q19/N19)+(IF(OR(R19="N/A",R19=""),0,R19/N19))))*100,1))</f>
      </c>
      <c r="V19">
        <f>IF(OR(O19="N/A",S19="N/A"),"N/A",ROUND(S19/O19*100,1))</f>
      </c>
      <c r="W19">
        <f>IF(COUNT(T19:V19)&gt;0,ROUND(AVERAGE(T19:V19),1),"N/A")</f>
      </c>
      <c r="X19" t="str">
        <v>Kỳ học theo khóa</v>
      </c>
    </row>
    <row r="20">
      <c r="A20">
        <v>19</v>
      </c>
      <c r="B20" t="str">
        <v>BBAE</v>
      </c>
      <c r="C20" t="str">
        <v>BBAE - Cử nhân Khởi nghiệp &amp; PTKD</v>
      </c>
      <c r="D20" t="str">
        <v>Cử nhân cấp bằng (Full 4 năm)</v>
      </c>
      <c r="E20" t="str">
        <v>BBAE</v>
      </c>
      <c r="F20" t="str">
        <v>Năm 1</v>
      </c>
      <c r="G20" t="str">
        <v>SEM 1</v>
      </c>
      <c r="H20" t="str">
        <v>BBAE1113</v>
      </c>
      <c r="I20" t="str">
        <v>Kỹ năng mềm trong kinh doanh</v>
      </c>
      <c r="J20" t="str">
        <v>Nguyễn Minh Tuấn</v>
      </c>
      <c r="K20">
        <v>2</v>
      </c>
      <c r="L20">
        <v>45</v>
      </c>
      <c r="M20">
        <v>90</v>
      </c>
      <c r="N20">
        <v>90</v>
      </c>
      <c r="O20">
        <v>90</v>
      </c>
      <c r="P20">
        <v>92</v>
      </c>
      <c r="Q20">
        <v>88</v>
      </c>
      <c r="R20" t="str">
        <v>N/A</v>
      </c>
      <c r="S20">
        <v>91</v>
      </c>
      <c r="T20">
        <f>IF(OR(M20="N/A",P20="N/A"),"N/A",ROUND(P20/M20*100,1))</f>
      </c>
      <c r="U20">
        <f>IF(OR(N20="N/A",Q20="N/A"),"N/A",ROUND(IF(Q20/N20&gt;=1,Q20/N20,MIN(1,(Q20/N20)+(IF(OR(R20="N/A",R20=""),0,R20/N20))))*100,1))</f>
      </c>
      <c r="V20">
        <f>IF(OR(O20="N/A",S20="N/A"),"N/A",ROUND(S20/O20*100,1))</f>
      </c>
      <c r="W20">
        <f>IF(COUNT(T20:V20)&gt;0,ROUND(AVERAGE(T20:V20),1),"N/A")</f>
      </c>
      <c r="X20" t="str">
        <v>Kỳ học theo khóa</v>
      </c>
    </row>
    <row r="21">
      <c r="A21">
        <v>20</v>
      </c>
      <c r="B21" t="str">
        <v>BBAE</v>
      </c>
      <c r="C21" t="str">
        <v>BBAE - Cử nhân Khởi nghiệp &amp; PTKD</v>
      </c>
      <c r="D21" t="str">
        <v>Cử nhân cấp bằng (Full 4 năm)</v>
      </c>
      <c r="E21" t="str">
        <v>BBAE</v>
      </c>
      <c r="F21" t="str">
        <v>Năm 1</v>
      </c>
      <c r="G21" t="str">
        <v>SEM 1</v>
      </c>
      <c r="H21" t="str">
        <v>BBAE1114</v>
      </c>
      <c r="I21" t="str">
        <v>Introduction to Dancesport</v>
      </c>
      <c r="J21" t="str">
        <v>Nguyễn Minh Tuấn</v>
      </c>
      <c r="K21">
        <v>2</v>
      </c>
      <c r="L21">
        <v>45</v>
      </c>
      <c r="M21">
        <v>90</v>
      </c>
      <c r="N21">
        <v>90</v>
      </c>
      <c r="O21">
        <v>90</v>
      </c>
      <c r="P21">
        <v>92</v>
      </c>
      <c r="Q21">
        <v>88</v>
      </c>
      <c r="R21" t="str">
        <v>N/A</v>
      </c>
      <c r="S21">
        <v>91</v>
      </c>
      <c r="T21">
        <f>IF(OR(M21="N/A",P21="N/A"),"N/A",ROUND(P21/M21*100,1))</f>
      </c>
      <c r="U21">
        <f>IF(OR(N21="N/A",Q21="N/A"),"N/A",ROUND(IF(Q21/N21&gt;=1,Q21/N21,MIN(1,(Q21/N21)+(IF(OR(R21="N/A",R21=""),0,R21/N21))))*100,1))</f>
      </c>
      <c r="V21">
        <f>IF(OR(O21="N/A",S21="N/A"),"N/A",ROUND(S21/O21*100,1))</f>
      </c>
      <c r="W21">
        <f>IF(COUNT(T21:V21)&gt;0,ROUND(AVERAGE(T21:V21),1),"N/A")</f>
      </c>
      <c r="X21" t="str">
        <v>Kỳ học theo khóa</v>
      </c>
    </row>
    <row r="22">
      <c r="A22">
        <v>21</v>
      </c>
      <c r="B22" t="str">
        <v>BBAE</v>
      </c>
      <c r="C22" t="str">
        <v>BBAE - Cử nhân Khởi nghiệp &amp; PTKD</v>
      </c>
      <c r="D22" t="str">
        <v>Cử nhân cấp bằng (Full 4 năm)</v>
      </c>
      <c r="E22" t="str">
        <v>BBAE</v>
      </c>
      <c r="F22" t="str">
        <v>Năm 1</v>
      </c>
      <c r="G22" t="str">
        <v>SEM 1</v>
      </c>
      <c r="H22" t="str">
        <v>BBAE1125</v>
      </c>
      <c r="I22" t="str">
        <v>Business Communication</v>
      </c>
      <c r="J22" t="str">
        <v>Nguyễn Minh Tuấn</v>
      </c>
      <c r="K22">
        <v>2</v>
      </c>
      <c r="L22">
        <v>45</v>
      </c>
      <c r="M22">
        <v>90</v>
      </c>
      <c r="N22">
        <v>90</v>
      </c>
      <c r="O22">
        <v>90</v>
      </c>
      <c r="P22">
        <v>92</v>
      </c>
      <c r="Q22">
        <v>88</v>
      </c>
      <c r="R22" t="str">
        <v>N/A</v>
      </c>
      <c r="S22">
        <v>91</v>
      </c>
      <c r="T22">
        <f>IF(OR(M22="N/A",P22="N/A"),"N/A",ROUND(P22/M22*100,1))</f>
      </c>
      <c r="U22">
        <f>IF(OR(N22="N/A",Q22="N/A"),"N/A",ROUND(IF(Q22/N22&gt;=1,Q22/N22,MIN(1,(Q22/N22)+(IF(OR(R22="N/A",R22=""),0,R22/N22))))*100,1))</f>
      </c>
      <c r="V22">
        <f>IF(OR(O22="N/A",S22="N/A"),"N/A",ROUND(S22/O22*100,1))</f>
      </c>
      <c r="W22">
        <f>IF(COUNT(T22:V22)&gt;0,ROUND(AVERAGE(T22:V22),1),"N/A")</f>
      </c>
      <c r="X22" t="str">
        <v>Kỳ học theo khóa</v>
      </c>
    </row>
    <row r="23">
      <c r="A23">
        <v>22</v>
      </c>
      <c r="B23" t="str">
        <v>BBAE</v>
      </c>
      <c r="C23" t="str">
        <v>BBAE - Cử nhân Khởi nghiệp &amp; PTKD</v>
      </c>
      <c r="D23" t="str">
        <v>Cử nhân cấp bằng (Full 4 năm)</v>
      </c>
      <c r="E23" t="str">
        <v>BBAE K67</v>
      </c>
      <c r="F23" t="str">
        <v>Năm 1</v>
      </c>
      <c r="G23" t="str">
        <v>SEM 2</v>
      </c>
      <c r="H23" t="str">
        <v>BBAE1107</v>
      </c>
      <c r="I23" t="str">
        <v>Introduction to Environmental Studies</v>
      </c>
      <c r="J23" t="str">
        <v>Nguyễn Minh Tuấn</v>
      </c>
      <c r="K23">
        <v>1</v>
      </c>
      <c r="L23">
        <v>101</v>
      </c>
      <c r="M23">
        <v>95</v>
      </c>
      <c r="N23">
        <v>95</v>
      </c>
      <c r="O23">
        <v>95</v>
      </c>
      <c r="P23">
        <v>100</v>
      </c>
      <c r="Q23">
        <v>100</v>
      </c>
      <c r="R23">
        <v>0</v>
      </c>
      <c r="S23">
        <v>100</v>
      </c>
      <c r="T23">
        <f>IF(OR(M23="N/A",P23="N/A"),"N/A",ROUND(P23/M23*100,1))</f>
      </c>
      <c r="U23">
        <f>IF(OR(N23="N/A",Q23="N/A"),"N/A",ROUND(IF(Q23/N23&gt;=1,Q23/N23,MIN(1,(Q23/N23)+(IF(OR(R23="N/A",R23=""),0,R23/N23))))*100,1))</f>
      </c>
      <c r="V23">
        <f>IF(OR(O23="N/A",S23="N/A"),"N/A",ROUND(S23/O23*100,1))</f>
      </c>
      <c r="W23">
        <f>IF(COUNT(T23:V23)&gt;0,ROUND(AVERAGE(T23:V23),1),"N/A")</f>
      </c>
      <c r="X23" t="str">
        <v>Kỳ 2 (Kỳ hiện tại)</v>
      </c>
    </row>
    <row r="24">
      <c r="A24">
        <v>23</v>
      </c>
      <c r="B24" t="str">
        <v>BBAE</v>
      </c>
      <c r="C24" t="str">
        <v>BBAE - Cử nhân Khởi nghiệp &amp; PTKD</v>
      </c>
      <c r="D24" t="str">
        <v>Cử nhân cấp bằng (Full 4 năm)</v>
      </c>
      <c r="E24" t="str">
        <v>BBAE K67</v>
      </c>
      <c r="F24" t="str">
        <v>Năm 1</v>
      </c>
      <c r="G24" t="str">
        <v>SEM 2</v>
      </c>
      <c r="H24" t="str">
        <v>BBAE1108</v>
      </c>
      <c r="I24" t="str">
        <v>Introduction to Calculus</v>
      </c>
      <c r="J24" t="str">
        <v>Nguyễn Minh Tuấn</v>
      </c>
      <c r="K24">
        <v>1</v>
      </c>
      <c r="L24">
        <v>109</v>
      </c>
      <c r="M24">
        <v>95</v>
      </c>
      <c r="N24">
        <v>95</v>
      </c>
      <c r="O24">
        <v>95</v>
      </c>
      <c r="P24">
        <v>99</v>
      </c>
      <c r="Q24">
        <v>92.9</v>
      </c>
      <c r="R24">
        <v>0</v>
      </c>
      <c r="S24">
        <v>99</v>
      </c>
      <c r="T24">
        <f>IF(OR(M24="N/A",P24="N/A"),"N/A",ROUND(P24/M24*100,1))</f>
      </c>
      <c r="U24">
        <f>IF(OR(N24="N/A",Q24="N/A"),"N/A",ROUND(IF(Q24/N24&gt;=1,Q24/N24,MIN(1,(Q24/N24)+(IF(OR(R24="N/A",R24=""),0,R24/N24))))*100,1))</f>
      </c>
      <c r="V24">
        <f>IF(OR(O24="N/A",S24="N/A"),"N/A",ROUND(S24/O24*100,1))</f>
      </c>
      <c r="W24">
        <f>IF(COUNT(T24:V24)&gt;0,ROUND(AVERAGE(T24:V24),1),"N/A")</f>
      </c>
      <c r="X24" t="str">
        <v>Kỳ 2 (Kỳ hiện tại)</v>
      </c>
    </row>
    <row r="25">
      <c r="A25">
        <v>24</v>
      </c>
      <c r="B25" t="str">
        <v>BBAE</v>
      </c>
      <c r="C25" t="str">
        <v>BBAE - Cử nhân Khởi nghiệp &amp; PTKD</v>
      </c>
      <c r="D25" t="str">
        <v>Cử nhân cấp bằng (Full 4 năm)</v>
      </c>
      <c r="E25" t="str">
        <v>BBAE K67</v>
      </c>
      <c r="F25" t="str">
        <v>Năm 1</v>
      </c>
      <c r="G25" t="str">
        <v>SEM 2</v>
      </c>
      <c r="H25" t="str">
        <v>BBAE1112</v>
      </c>
      <c r="I25" t="str">
        <v>English 2</v>
      </c>
      <c r="J25" t="str">
        <v>Nguyễn Minh Tuấn</v>
      </c>
      <c r="K25">
        <v>2</v>
      </c>
      <c r="L25">
        <v>18</v>
      </c>
      <c r="M25">
        <v>95</v>
      </c>
      <c r="N25">
        <v>95</v>
      </c>
      <c r="O25">
        <v>95</v>
      </c>
      <c r="P25">
        <v>93.9</v>
      </c>
      <c r="Q25">
        <v>94.6</v>
      </c>
      <c r="R25">
        <v>0</v>
      </c>
      <c r="S25">
        <v>93.9</v>
      </c>
      <c r="T25">
        <f>IF(OR(M25="N/A",P25="N/A"),"N/A",ROUND(P25/M25*100,1))</f>
      </c>
      <c r="U25">
        <f>IF(OR(N25="N/A",Q25="N/A"),"N/A",ROUND(IF(Q25/N25&gt;=1,Q25/N25,MIN(1,(Q25/N25)+(IF(OR(R25="N/A",R25=""),0,R25/N25))))*100,1))</f>
      </c>
      <c r="V25">
        <f>IF(OR(O25="N/A",S25="N/A"),"N/A",ROUND(S25/O25*100,1))</f>
      </c>
      <c r="W25">
        <f>IF(COUNT(T25:V25)&gt;0,ROUND(AVERAGE(T25:V25),1),"N/A")</f>
      </c>
      <c r="X25" t="str">
        <v>Kỳ 2 (Kỳ hiện tại)</v>
      </c>
    </row>
    <row r="26">
      <c r="A26">
        <v>25</v>
      </c>
      <c r="B26" t="str">
        <v>BBAE</v>
      </c>
      <c r="C26" t="str">
        <v>BBAE - Cử nhân Khởi nghiệp &amp; PTKD</v>
      </c>
      <c r="D26" t="str">
        <v>Cử nhân cấp bằng (Full 4 năm)</v>
      </c>
      <c r="E26" t="str">
        <v>BBAE K67</v>
      </c>
      <c r="F26" t="str">
        <v>Năm 1</v>
      </c>
      <c r="G26" t="str">
        <v>SEM 2</v>
      </c>
      <c r="H26" t="str">
        <v>BBAE1121</v>
      </c>
      <c r="I26" t="str">
        <v>Business Environment</v>
      </c>
      <c r="J26" t="str">
        <v>Nguyễn Minh Tuấn</v>
      </c>
      <c r="K26">
        <v>1</v>
      </c>
      <c r="L26">
        <v>102</v>
      </c>
      <c r="M26">
        <v>95</v>
      </c>
      <c r="N26">
        <v>95</v>
      </c>
      <c r="O26">
        <v>95</v>
      </c>
      <c r="P26">
        <v>100</v>
      </c>
      <c r="Q26">
        <v>99</v>
      </c>
      <c r="R26">
        <v>0</v>
      </c>
      <c r="S26">
        <v>100</v>
      </c>
      <c r="T26">
        <f>IF(OR(M26="N/A",P26="N/A"),"N/A",ROUND(P26/M26*100,1))</f>
      </c>
      <c r="U26">
        <f>IF(OR(N26="N/A",Q26="N/A"),"N/A",ROUND(IF(Q26/N26&gt;=1,Q26/N26,MIN(1,(Q26/N26)+(IF(OR(R26="N/A",R26=""),0,R26/N26))))*100,1))</f>
      </c>
      <c r="V26">
        <f>IF(OR(O26="N/A",S26="N/A"),"N/A",ROUND(S26/O26*100,1))</f>
      </c>
      <c r="W26">
        <f>IF(COUNT(T26:V26)&gt;0,ROUND(AVERAGE(T26:V26),1),"N/A")</f>
      </c>
      <c r="X26" t="str">
        <v>Kỳ 2 (Kỳ hiện tại)</v>
      </c>
    </row>
    <row r="27">
      <c r="A27">
        <v>26</v>
      </c>
      <c r="B27" t="str">
        <v>BBAE</v>
      </c>
      <c r="C27" t="str">
        <v>BBAE - Cử nhân Khởi nghiệp &amp; PTKD</v>
      </c>
      <c r="D27" t="str">
        <v>Cử nhân cấp bằng (Full 4 năm)</v>
      </c>
      <c r="E27" t="str">
        <v>BBAE K67</v>
      </c>
      <c r="F27" t="str">
        <v>Năm 1</v>
      </c>
      <c r="G27" t="str">
        <v>SEM 2</v>
      </c>
      <c r="H27" t="str">
        <v>LLNL1105</v>
      </c>
      <c r="I27" t="str">
        <v>Triết học Marx Lenin</v>
      </c>
      <c r="J27" t="str">
        <v>Nguyễn Minh Tuấn</v>
      </c>
      <c r="K27">
        <v>2</v>
      </c>
      <c r="L27">
        <v>101</v>
      </c>
      <c r="M27">
        <v>95</v>
      </c>
      <c r="N27">
        <v>95</v>
      </c>
      <c r="O27">
        <v>95</v>
      </c>
      <c r="P27">
        <v>99</v>
      </c>
      <c r="Q27">
        <v>99</v>
      </c>
      <c r="R27">
        <v>0</v>
      </c>
      <c r="S27">
        <v>99</v>
      </c>
      <c r="T27">
        <f>IF(OR(M27="N/A",P27="N/A"),"N/A",ROUND(P27/M27*100,1))</f>
      </c>
      <c r="U27">
        <f>IF(OR(N27="N/A",Q27="N/A"),"N/A",ROUND(IF(Q27/N27&gt;=1,Q27/N27,MIN(1,(Q27/N27)+(IF(OR(R27="N/A",R27=""),0,R27/N27))))*100,1))</f>
      </c>
      <c r="V27">
        <f>IF(OR(O27="N/A",S27="N/A"),"N/A",ROUND(S27/O27*100,1))</f>
      </c>
      <c r="W27">
        <f>IF(COUNT(T27:V27)&gt;0,ROUND(AVERAGE(T27:V27),1),"N/A")</f>
      </c>
      <c r="X27" t="str">
        <v>Kỳ 2 (Kỳ hiện tại)</v>
      </c>
    </row>
    <row r="28">
      <c r="A28">
        <v>27</v>
      </c>
      <c r="B28" t="str">
        <v>BBAE</v>
      </c>
      <c r="C28" t="str">
        <v>BBAE - Cử nhân Khởi nghiệp &amp; PTKD</v>
      </c>
      <c r="D28" t="str">
        <v>Cử nhân cấp bằng (Full 4 năm)</v>
      </c>
      <c r="E28" t="str">
        <v>BBAE</v>
      </c>
      <c r="F28" t="str">
        <v>Năm 2</v>
      </c>
      <c r="G28" t="str">
        <v>SEM 1</v>
      </c>
      <c r="H28" t="str">
        <v>BBAE1116</v>
      </c>
      <c r="I28" t="str">
        <v>Microeconomics</v>
      </c>
      <c r="J28" t="str">
        <v>Nguyễn Minh Tuấn</v>
      </c>
      <c r="K28">
        <v>2</v>
      </c>
      <c r="L28">
        <v>45</v>
      </c>
      <c r="M28">
        <v>90</v>
      </c>
      <c r="N28">
        <v>90</v>
      </c>
      <c r="O28">
        <v>90</v>
      </c>
      <c r="P28">
        <v>92</v>
      </c>
      <c r="Q28">
        <v>88</v>
      </c>
      <c r="R28" t="str">
        <v>N/A</v>
      </c>
      <c r="S28">
        <v>91</v>
      </c>
      <c r="T28">
        <f>IF(OR(M28="N/A",P28="N/A"),"N/A",ROUND(P28/M28*100,1))</f>
      </c>
      <c r="U28">
        <f>IF(OR(N28="N/A",Q28="N/A"),"N/A",ROUND(IF(Q28/N28&gt;=1,Q28/N28,MIN(1,(Q28/N28)+(IF(OR(R28="N/A",R28=""),0,R28/N28))))*100,1))</f>
      </c>
      <c r="V28">
        <f>IF(OR(O28="N/A",S28="N/A"),"N/A",ROUND(S28/O28*100,1))</f>
      </c>
      <c r="W28">
        <f>IF(COUNT(T28:V28)&gt;0,ROUND(AVERAGE(T28:V28),1),"N/A")</f>
      </c>
      <c r="X28" t="str">
        <v>Kỳ học theo khóa</v>
      </c>
    </row>
    <row r="29">
      <c r="A29">
        <v>28</v>
      </c>
      <c r="B29" t="str">
        <v>BBAE</v>
      </c>
      <c r="C29" t="str">
        <v>BBAE - Cử nhân Khởi nghiệp &amp; PTKD</v>
      </c>
      <c r="D29" t="str">
        <v>Cử nhân cấp bằng (Full 4 năm)</v>
      </c>
      <c r="E29" t="str">
        <v>BBAE</v>
      </c>
      <c r="F29" t="str">
        <v>Năm 2</v>
      </c>
      <c r="G29" t="str">
        <v>SEM 1</v>
      </c>
      <c r="H29" t="str">
        <v>BBAE1118</v>
      </c>
      <c r="I29" t="str">
        <v>Business Decision Making 1</v>
      </c>
      <c r="J29" t="str">
        <v>Nguyễn Minh Tuấn</v>
      </c>
      <c r="K29">
        <v>2</v>
      </c>
      <c r="L29">
        <v>45</v>
      </c>
      <c r="M29">
        <v>90</v>
      </c>
      <c r="N29">
        <v>90</v>
      </c>
      <c r="O29">
        <v>90</v>
      </c>
      <c r="P29">
        <v>92</v>
      </c>
      <c r="Q29">
        <v>88</v>
      </c>
      <c r="R29" t="str">
        <v>N/A</v>
      </c>
      <c r="S29">
        <v>91</v>
      </c>
      <c r="T29">
        <f>IF(OR(M29="N/A",P29="N/A"),"N/A",ROUND(P29/M29*100,1))</f>
      </c>
      <c r="U29">
        <f>IF(OR(N29="N/A",Q29="N/A"),"N/A",ROUND(IF(Q29/N29&gt;=1,Q29/N29,MIN(1,(Q29/N29)+(IF(OR(R29="N/A",R29=""),0,R29/N29))))*100,1))</f>
      </c>
      <c r="V29">
        <f>IF(OR(O29="N/A",S29="N/A"),"N/A",ROUND(S29/O29*100,1))</f>
      </c>
      <c r="W29">
        <f>IF(COUNT(T29:V29)&gt;0,ROUND(AVERAGE(T29:V29),1),"N/A")</f>
      </c>
      <c r="X29" t="str">
        <v>Kỳ học theo khóa</v>
      </c>
    </row>
    <row r="30">
      <c r="A30">
        <v>29</v>
      </c>
      <c r="B30" t="str">
        <v>BBAE</v>
      </c>
      <c r="C30" t="str">
        <v>BBAE - Cử nhân Khởi nghiệp &amp; PTKD</v>
      </c>
      <c r="D30" t="str">
        <v>Cử nhân cấp bằng (Full 4 năm)</v>
      </c>
      <c r="E30" t="str">
        <v>BBAE</v>
      </c>
      <c r="F30" t="str">
        <v>Năm 2</v>
      </c>
      <c r="G30" t="str">
        <v>SEM 1</v>
      </c>
      <c r="H30" t="str">
        <v>BBAE1120</v>
      </c>
      <c r="I30" t="str">
        <v>Principles of Accounting</v>
      </c>
      <c r="J30" t="str">
        <v>Nguyễn Minh Tuấn</v>
      </c>
      <c r="K30">
        <v>2</v>
      </c>
      <c r="L30">
        <v>45</v>
      </c>
      <c r="M30">
        <v>90</v>
      </c>
      <c r="N30">
        <v>90</v>
      </c>
      <c r="O30">
        <v>90</v>
      </c>
      <c r="P30">
        <v>92</v>
      </c>
      <c r="Q30">
        <v>88</v>
      </c>
      <c r="R30" t="str">
        <v>N/A</v>
      </c>
      <c r="S30">
        <v>91</v>
      </c>
      <c r="T30">
        <f>IF(OR(M30="N/A",P30="N/A"),"N/A",ROUND(P30/M30*100,1))</f>
      </c>
      <c r="U30">
        <f>IF(OR(N30="N/A",Q30="N/A"),"N/A",ROUND(IF(Q30/N30&gt;=1,Q30/N30,MIN(1,(Q30/N30)+(IF(OR(R30="N/A",R30=""),0,R30/N30))))*100,1))</f>
      </c>
      <c r="V30">
        <f>IF(OR(O30="N/A",S30="N/A"),"N/A",ROUND(S30/O30*100,1))</f>
      </c>
      <c r="W30">
        <f>IF(COUNT(T30:V30)&gt;0,ROUND(AVERAGE(T30:V30),1),"N/A")</f>
      </c>
      <c r="X30" t="str">
        <v>Kỳ học theo khóa</v>
      </c>
    </row>
    <row r="31">
      <c r="A31">
        <v>30</v>
      </c>
      <c r="B31" t="str">
        <v>BBAE</v>
      </c>
      <c r="C31" t="str">
        <v>BBAE - Cử nhân Khởi nghiệp &amp; PTKD</v>
      </c>
      <c r="D31" t="str">
        <v>Cử nhân cấp bằng (Full 4 năm)</v>
      </c>
      <c r="E31" t="str">
        <v>BBAE</v>
      </c>
      <c r="F31" t="str">
        <v>Năm 2</v>
      </c>
      <c r="G31" t="str">
        <v>SEM 1</v>
      </c>
      <c r="H31" t="str">
        <v>BBAE1124</v>
      </c>
      <c r="I31" t="str">
        <v>Personal &amp; Professional Development</v>
      </c>
      <c r="J31" t="str">
        <v>Nguyễn Minh Tuấn</v>
      </c>
      <c r="K31">
        <v>2</v>
      </c>
      <c r="L31">
        <v>45</v>
      </c>
      <c r="M31">
        <v>90</v>
      </c>
      <c r="N31">
        <v>90</v>
      </c>
      <c r="O31">
        <v>90</v>
      </c>
      <c r="P31">
        <v>92</v>
      </c>
      <c r="Q31">
        <v>88</v>
      </c>
      <c r="R31" t="str">
        <v>N/A</v>
      </c>
      <c r="S31">
        <v>91</v>
      </c>
      <c r="T31">
        <f>IF(OR(M31="N/A",P31="N/A"),"N/A",ROUND(P31/M31*100,1))</f>
      </c>
      <c r="U31">
        <f>IF(OR(N31="N/A",Q31="N/A"),"N/A",ROUND(IF(Q31/N31&gt;=1,Q31/N31,MIN(1,(Q31/N31)+(IF(OR(R31="N/A",R31=""),0,R31/N31))))*100,1))</f>
      </c>
      <c r="V31">
        <f>IF(OR(O31="N/A",S31="N/A"),"N/A",ROUND(S31/O31*100,1))</f>
      </c>
      <c r="W31">
        <f>IF(COUNT(T31:V31)&gt;0,ROUND(AVERAGE(T31:V31),1),"N/A")</f>
      </c>
      <c r="X31" t="str">
        <v>Kỳ học theo khóa</v>
      </c>
    </row>
    <row r="32">
      <c r="A32">
        <v>31</v>
      </c>
      <c r="B32" t="str">
        <v>BBAE</v>
      </c>
      <c r="C32" t="str">
        <v>BBAE - Cử nhân Khởi nghiệp &amp; PTKD</v>
      </c>
      <c r="D32" t="str">
        <v>Cử nhân cấp bằng (Full 4 năm)</v>
      </c>
      <c r="E32" t="str">
        <v>BBAE</v>
      </c>
      <c r="F32" t="str">
        <v>Năm 2</v>
      </c>
      <c r="G32" t="str">
        <v>SEM 1</v>
      </c>
      <c r="H32" t="str">
        <v>BBAE1138</v>
      </c>
      <c r="I32" t="str">
        <v>Psychology</v>
      </c>
      <c r="J32" t="str">
        <v>Nguyễn Minh Tuấn</v>
      </c>
      <c r="K32">
        <v>2</v>
      </c>
      <c r="L32">
        <v>45</v>
      </c>
      <c r="M32">
        <v>90</v>
      </c>
      <c r="N32">
        <v>90</v>
      </c>
      <c r="O32">
        <v>90</v>
      </c>
      <c r="P32">
        <v>92</v>
      </c>
      <c r="Q32">
        <v>88</v>
      </c>
      <c r="R32" t="str">
        <v>N/A</v>
      </c>
      <c r="S32">
        <v>91</v>
      </c>
      <c r="T32">
        <f>IF(OR(M32="N/A",P32="N/A"),"N/A",ROUND(P32/M32*100,1))</f>
      </c>
      <c r="U32">
        <f>IF(OR(N32="N/A",Q32="N/A"),"N/A",ROUND(IF(Q32/N32&gt;=1,Q32/N32,MIN(1,(Q32/N32)+(IF(OR(R32="N/A",R32=""),0,R32/N32))))*100,1))</f>
      </c>
      <c r="V32">
        <f>IF(OR(O32="N/A",S32="N/A"),"N/A",ROUND(S32/O32*100,1))</f>
      </c>
      <c r="W32">
        <f>IF(COUNT(T32:V32)&gt;0,ROUND(AVERAGE(T32:V32),1),"N/A")</f>
      </c>
      <c r="X32" t="str">
        <v>Kỳ học theo khóa</v>
      </c>
    </row>
    <row r="33">
      <c r="A33">
        <v>32</v>
      </c>
      <c r="B33" t="str">
        <v>BBAE</v>
      </c>
      <c r="C33" t="str">
        <v>BBAE - Cử nhân Khởi nghiệp &amp; PTKD</v>
      </c>
      <c r="D33" t="str">
        <v>Cử nhân cấp bằng (Full 4 năm)</v>
      </c>
      <c r="E33" t="str">
        <v>BBAE K66</v>
      </c>
      <c r="F33" t="str">
        <v>Năm 2</v>
      </c>
      <c r="G33" t="str">
        <v>SEM 2</v>
      </c>
      <c r="H33" t="str">
        <v>BBAE1117</v>
      </c>
      <c r="I33" t="str">
        <v>Macroeconomics</v>
      </c>
      <c r="J33" t="str">
        <v>Nguyễn Minh Tuấn</v>
      </c>
      <c r="K33">
        <v>2</v>
      </c>
      <c r="L33">
        <v>85</v>
      </c>
      <c r="M33">
        <v>95</v>
      </c>
      <c r="N33">
        <v>95</v>
      </c>
      <c r="O33">
        <v>95</v>
      </c>
      <c r="P33">
        <v>100</v>
      </c>
      <c r="Q33">
        <v>98.8</v>
      </c>
      <c r="R33">
        <v>0</v>
      </c>
      <c r="S33">
        <v>100</v>
      </c>
      <c r="T33">
        <f>IF(OR(M33="N/A",P33="N/A"),"N/A",ROUND(P33/M33*100,1))</f>
      </c>
      <c r="U33">
        <f>IF(OR(N33="N/A",Q33="N/A"),"N/A",ROUND(IF(Q33/N33&gt;=1,Q33/N33,MIN(1,(Q33/N33)+(IF(OR(R33="N/A",R33=""),0,R33/N33))))*100,1))</f>
      </c>
      <c r="V33">
        <f>IF(OR(O33="N/A",S33="N/A"),"N/A",ROUND(S33/O33*100,1))</f>
      </c>
      <c r="W33">
        <f>IF(COUNT(T33:V33)&gt;0,ROUND(AVERAGE(T33:V33),1),"N/A")</f>
      </c>
      <c r="X33" t="str">
        <v>Kỳ 2 (Kỳ hiện tại)</v>
      </c>
    </row>
    <row r="34">
      <c r="A34">
        <v>33</v>
      </c>
      <c r="B34" t="str">
        <v>BBAE</v>
      </c>
      <c r="C34" t="str">
        <v>BBAE - Cử nhân Khởi nghiệp &amp; PTKD</v>
      </c>
      <c r="D34" t="str">
        <v>Cử nhân cấp bằng (Full 4 năm)</v>
      </c>
      <c r="E34" t="str">
        <v>BBAE K66</v>
      </c>
      <c r="F34" t="str">
        <v>Năm 2</v>
      </c>
      <c r="G34" t="str">
        <v>SEM 2</v>
      </c>
      <c r="H34" t="str">
        <v>BBAE1119</v>
      </c>
      <c r="I34" t="str">
        <v>Business Decision Making 2</v>
      </c>
      <c r="J34" t="str">
        <v>Nguyễn Minh Tuấn</v>
      </c>
      <c r="K34">
        <v>1</v>
      </c>
      <c r="L34">
        <v>87</v>
      </c>
      <c r="M34">
        <v>95</v>
      </c>
      <c r="N34">
        <v>95</v>
      </c>
      <c r="O34">
        <v>95</v>
      </c>
      <c r="P34">
        <v>100</v>
      </c>
      <c r="Q34">
        <v>88.2</v>
      </c>
      <c r="R34">
        <v>0</v>
      </c>
      <c r="S34">
        <v>100</v>
      </c>
      <c r="T34">
        <f>IF(OR(M34="N/A",P34="N/A"),"N/A",ROUND(P34/M34*100,1))</f>
      </c>
      <c r="U34">
        <f>IF(OR(N34="N/A",Q34="N/A"),"N/A",ROUND(IF(Q34/N34&gt;=1,Q34/N34,MIN(1,(Q34/N34)+(IF(OR(R34="N/A",R34=""),0,R34/N34))))*100,1))</f>
      </c>
      <c r="V34">
        <f>IF(OR(O34="N/A",S34="N/A"),"N/A",ROUND(S34/O34*100,1))</f>
      </c>
      <c r="W34">
        <f>IF(COUNT(T34:V34)&gt;0,ROUND(AVERAGE(T34:V34),1),"N/A")</f>
      </c>
      <c r="X34" t="str">
        <v>Kỳ 2 (Kỳ hiện tại)</v>
      </c>
    </row>
    <row r="35">
      <c r="A35">
        <v>34</v>
      </c>
      <c r="B35" t="str">
        <v>BBAE</v>
      </c>
      <c r="C35" t="str">
        <v>BBAE - Cử nhân Khởi nghiệp &amp; PTKD</v>
      </c>
      <c r="D35" t="str">
        <v>Cử nhân cấp bằng (Full 4 năm)</v>
      </c>
      <c r="E35" t="str">
        <v>BBAE K66</v>
      </c>
      <c r="F35" t="str">
        <v>Năm 2</v>
      </c>
      <c r="G35" t="str">
        <v>SEM 2</v>
      </c>
      <c r="H35" t="str">
        <v>BBAE1123</v>
      </c>
      <c r="I35" t="str">
        <v>Principles of Marketing</v>
      </c>
      <c r="J35" t="str">
        <v>Nguyễn Minh Tuấn</v>
      </c>
      <c r="K35">
        <v>1</v>
      </c>
      <c r="L35">
        <v>86</v>
      </c>
      <c r="M35">
        <v>95</v>
      </c>
      <c r="N35">
        <v>95</v>
      </c>
      <c r="O35">
        <v>95</v>
      </c>
      <c r="P35">
        <v>100</v>
      </c>
      <c r="Q35">
        <v>98.8</v>
      </c>
      <c r="R35">
        <v>0</v>
      </c>
      <c r="S35">
        <v>100</v>
      </c>
      <c r="T35">
        <f>IF(OR(M35="N/A",P35="N/A"),"N/A",ROUND(P35/M35*100,1))</f>
      </c>
      <c r="U35">
        <f>IF(OR(N35="N/A",Q35="N/A"),"N/A",ROUND(IF(Q35/N35&gt;=1,Q35/N35,MIN(1,(Q35/N35)+(IF(OR(R35="N/A",R35=""),0,R35/N35))))*100,1))</f>
      </c>
      <c r="V35">
        <f>IF(OR(O35="N/A",S35="N/A"),"N/A",ROUND(S35/O35*100,1))</f>
      </c>
      <c r="W35">
        <f>IF(COUNT(T35:V35)&gt;0,ROUND(AVERAGE(T35:V35),1),"N/A")</f>
      </c>
      <c r="X35" t="str">
        <v>Kỳ 2 (Kỳ hiện tại)</v>
      </c>
    </row>
    <row r="36">
      <c r="A36">
        <v>35</v>
      </c>
      <c r="B36" t="str">
        <v>BBAE</v>
      </c>
      <c r="C36" t="str">
        <v>BBAE - Cử nhân Khởi nghiệp &amp; PTKD</v>
      </c>
      <c r="D36" t="str">
        <v>Cử nhân cấp bằng (Full 4 năm)</v>
      </c>
      <c r="E36" t="str">
        <v>BBAE K66</v>
      </c>
      <c r="F36" t="str">
        <v>Năm 2</v>
      </c>
      <c r="G36" t="str">
        <v>SEM 2</v>
      </c>
      <c r="H36" t="str">
        <v>BBAE1126</v>
      </c>
      <c r="I36" t="str">
        <v>Managerial Accounting</v>
      </c>
      <c r="J36" t="str">
        <v>Nguyễn Minh Tuấn</v>
      </c>
      <c r="K36">
        <v>1</v>
      </c>
      <c r="L36">
        <v>85</v>
      </c>
      <c r="M36">
        <v>95</v>
      </c>
      <c r="N36">
        <v>95</v>
      </c>
      <c r="O36">
        <v>95</v>
      </c>
      <c r="P36">
        <v>100</v>
      </c>
      <c r="Q36">
        <v>100</v>
      </c>
      <c r="R36">
        <v>0</v>
      </c>
      <c r="S36">
        <v>100</v>
      </c>
      <c r="T36">
        <f>IF(OR(M36="N/A",P36="N/A"),"N/A",ROUND(P36/M36*100,1))</f>
      </c>
      <c r="U36">
        <f>IF(OR(N36="N/A",Q36="N/A"),"N/A",ROUND(IF(Q36/N36&gt;=1,Q36/N36,MIN(1,(Q36/N36)+(IF(OR(R36="N/A",R36=""),0,R36/N36))))*100,1))</f>
      </c>
      <c r="V36">
        <f>IF(OR(O36="N/A",S36="N/A"),"N/A",ROUND(S36/O36*100,1))</f>
      </c>
      <c r="W36">
        <f>IF(COUNT(T36:V36)&gt;0,ROUND(AVERAGE(T36:V36),1),"N/A")</f>
      </c>
      <c r="X36" t="str">
        <v>Kỳ 2 (Kỳ hiện tại)</v>
      </c>
    </row>
    <row r="37">
      <c r="A37">
        <v>36</v>
      </c>
      <c r="B37" t="str">
        <v>BBAE</v>
      </c>
      <c r="C37" t="str">
        <v>BBAE - Cử nhân Khởi nghiệp &amp; PTKD</v>
      </c>
      <c r="D37" t="str">
        <v>Cử nhân cấp bằng (Full 4 năm)</v>
      </c>
      <c r="E37" t="str">
        <v>BBAE K66</v>
      </c>
      <c r="F37" t="str">
        <v>Năm 2</v>
      </c>
      <c r="G37" t="str">
        <v>SEM 2</v>
      </c>
      <c r="H37" t="str">
        <v>BBAE1130</v>
      </c>
      <c r="I37" t="str">
        <v>Business Law</v>
      </c>
      <c r="J37" t="str">
        <v>Nguyễn Minh Tuấn</v>
      </c>
      <c r="K37">
        <v>1</v>
      </c>
      <c r="L37">
        <v>85</v>
      </c>
      <c r="M37">
        <v>95</v>
      </c>
      <c r="N37">
        <v>95</v>
      </c>
      <c r="O37">
        <v>95</v>
      </c>
      <c r="P37">
        <v>100</v>
      </c>
      <c r="Q37">
        <v>98.8</v>
      </c>
      <c r="R37">
        <v>0</v>
      </c>
      <c r="S37">
        <v>100</v>
      </c>
      <c r="T37">
        <f>IF(OR(M37="N/A",P37="N/A"),"N/A",ROUND(P37/M37*100,1))</f>
      </c>
      <c r="U37">
        <f>IF(OR(N37="N/A",Q37="N/A"),"N/A",ROUND(IF(Q37/N37&gt;=1,Q37/N37,MIN(1,(Q37/N37)+(IF(OR(R37="N/A",R37=""),0,R37/N37))))*100,1))</f>
      </c>
      <c r="V37">
        <f>IF(OR(O37="N/A",S37="N/A"),"N/A",ROUND(S37/O37*100,1))</f>
      </c>
      <c r="W37">
        <f>IF(COUNT(T37:V37)&gt;0,ROUND(AVERAGE(T37:V37),1),"N/A")</f>
      </c>
      <c r="X37" t="str">
        <v>Kỳ 2 (Kỳ hiện tại)</v>
      </c>
    </row>
    <row r="38">
      <c r="A38">
        <v>37</v>
      </c>
      <c r="B38" t="str">
        <v>BBAE</v>
      </c>
      <c r="C38" t="str">
        <v>BBAE - Cử nhân Khởi nghiệp &amp; PTKD</v>
      </c>
      <c r="D38" t="str">
        <v>Cử nhân cấp bằng (Full 4 năm)</v>
      </c>
      <c r="E38" t="str">
        <v>BBAE</v>
      </c>
      <c r="F38" t="str">
        <v>Năm 3</v>
      </c>
      <c r="G38" t="str">
        <v>SEM 1</v>
      </c>
      <c r="H38" t="str">
        <v>BBAE1122</v>
      </c>
      <c r="I38" t="str">
        <v>Corporate Finance</v>
      </c>
      <c r="J38" t="str">
        <v>Nguyễn Minh Tuấn</v>
      </c>
      <c r="K38">
        <v>2</v>
      </c>
      <c r="L38">
        <v>45</v>
      </c>
      <c r="M38">
        <v>90</v>
      </c>
      <c r="N38">
        <v>90</v>
      </c>
      <c r="O38">
        <v>90</v>
      </c>
      <c r="P38">
        <v>92</v>
      </c>
      <c r="Q38">
        <v>88</v>
      </c>
      <c r="R38" t="str">
        <v>N/A</v>
      </c>
      <c r="S38">
        <v>91</v>
      </c>
      <c r="T38">
        <f>IF(OR(M38="N/A",P38="N/A"),"N/A",ROUND(P38/M38*100,1))</f>
      </c>
      <c r="U38">
        <f>IF(OR(N38="N/A",Q38="N/A"),"N/A",ROUND(IF(Q38/N38&gt;=1,Q38/N38,MIN(1,(Q38/N38)+(IF(OR(R38="N/A",R38=""),0,R38/N38))))*100,1))</f>
      </c>
      <c r="V38">
        <f>IF(OR(O38="N/A",S38="N/A"),"N/A",ROUND(S38/O38*100,1))</f>
      </c>
      <c r="W38">
        <f>IF(COUNT(T38:V38)&gt;0,ROUND(AVERAGE(T38:V38),1),"N/A")</f>
      </c>
      <c r="X38" t="str">
        <v>Kỳ học theo khóa</v>
      </c>
    </row>
    <row r="39">
      <c r="A39">
        <v>38</v>
      </c>
      <c r="B39" t="str">
        <v>BBAE</v>
      </c>
      <c r="C39" t="str">
        <v>BBAE - Cử nhân Khởi nghiệp &amp; PTKD</v>
      </c>
      <c r="D39" t="str">
        <v>Cử nhân cấp bằng (Full 4 năm)</v>
      </c>
      <c r="E39" t="str">
        <v>BBAE</v>
      </c>
      <c r="F39" t="str">
        <v>Năm 3</v>
      </c>
      <c r="G39" t="str">
        <v>SEM 1</v>
      </c>
      <c r="H39" t="str">
        <v>BBAE1129</v>
      </c>
      <c r="I39" t="str">
        <v>Business Strategy</v>
      </c>
      <c r="J39" t="str">
        <v>Nguyễn Minh Tuấn</v>
      </c>
      <c r="K39">
        <v>2</v>
      </c>
      <c r="L39">
        <v>45</v>
      </c>
      <c r="M39">
        <v>90</v>
      </c>
      <c r="N39">
        <v>90</v>
      </c>
      <c r="O39">
        <v>90</v>
      </c>
      <c r="P39">
        <v>92</v>
      </c>
      <c r="Q39">
        <v>88</v>
      </c>
      <c r="R39" t="str">
        <v>N/A</v>
      </c>
      <c r="S39">
        <v>91</v>
      </c>
      <c r="T39">
        <f>IF(OR(M39="N/A",P39="N/A"),"N/A",ROUND(P39/M39*100,1))</f>
      </c>
      <c r="U39">
        <f>IF(OR(N39="N/A",Q39="N/A"),"N/A",ROUND(IF(Q39/N39&gt;=1,Q39/N39,MIN(1,(Q39/N39)+(IF(OR(R39="N/A",R39=""),0,R39/N39))))*100,1))</f>
      </c>
      <c r="V39">
        <f>IF(OR(O39="N/A",S39="N/A"),"N/A",ROUND(S39/O39*100,1))</f>
      </c>
      <c r="W39">
        <f>IF(COUNT(T39:V39)&gt;0,ROUND(AVERAGE(T39:V39),1),"N/A")</f>
      </c>
      <c r="X39" t="str">
        <v>Kỳ học theo khóa</v>
      </c>
    </row>
    <row r="40">
      <c r="A40">
        <v>39</v>
      </c>
      <c r="B40" t="str">
        <v>BBAE</v>
      </c>
      <c r="C40" t="str">
        <v>BBAE - Cử nhân Khởi nghiệp &amp; PTKD</v>
      </c>
      <c r="D40" t="str">
        <v>Cử nhân cấp bằng (Full 4 năm)</v>
      </c>
      <c r="E40" t="str">
        <v>BBAE</v>
      </c>
      <c r="F40" t="str">
        <v>Năm 3</v>
      </c>
      <c r="G40" t="str">
        <v>SEM 1</v>
      </c>
      <c r="H40" t="str">
        <v>BBAE1132</v>
      </c>
      <c r="I40" t="str">
        <v>Organizational Behavior</v>
      </c>
      <c r="J40" t="str">
        <v>Nguyễn Minh Tuấn</v>
      </c>
      <c r="K40">
        <v>2</v>
      </c>
      <c r="L40">
        <v>45</v>
      </c>
      <c r="M40">
        <v>90</v>
      </c>
      <c r="N40">
        <v>90</v>
      </c>
      <c r="O40">
        <v>90</v>
      </c>
      <c r="P40">
        <v>92</v>
      </c>
      <c r="Q40">
        <v>88</v>
      </c>
      <c r="R40" t="str">
        <v>N/A</v>
      </c>
      <c r="S40">
        <v>91</v>
      </c>
      <c r="T40">
        <f>IF(OR(M40="N/A",P40="N/A"),"N/A",ROUND(P40/M40*100,1))</f>
      </c>
      <c r="U40">
        <f>IF(OR(N40="N/A",Q40="N/A"),"N/A",ROUND(IF(Q40/N40&gt;=1,Q40/N40,MIN(1,(Q40/N40)+(IF(OR(R40="N/A",R40=""),0,R40/N40))))*100,1))</f>
      </c>
      <c r="V40">
        <f>IF(OR(O40="N/A",S40="N/A"),"N/A",ROUND(S40/O40*100,1))</f>
      </c>
      <c r="W40">
        <f>IF(COUNT(T40:V40)&gt;0,ROUND(AVERAGE(T40:V40),1),"N/A")</f>
      </c>
      <c r="X40" t="str">
        <v>Kỳ học theo khóa</v>
      </c>
    </row>
    <row r="41">
      <c r="A41">
        <v>40</v>
      </c>
      <c r="B41" t="str">
        <v>BBAE</v>
      </c>
      <c r="C41" t="str">
        <v>BBAE - Cử nhân Khởi nghiệp &amp; PTKD</v>
      </c>
      <c r="D41" t="str">
        <v>Cử nhân cấp bằng (Full 4 năm)</v>
      </c>
      <c r="E41" t="str">
        <v>BBAE</v>
      </c>
      <c r="F41" t="str">
        <v>Năm 3</v>
      </c>
      <c r="G41" t="str">
        <v>SEM 1</v>
      </c>
      <c r="H41" t="str">
        <v>BBAE1133</v>
      </c>
      <c r="I41" t="str">
        <v>Operations Management</v>
      </c>
      <c r="J41" t="str">
        <v>Nguyễn Minh Tuấn</v>
      </c>
      <c r="K41">
        <v>2</v>
      </c>
      <c r="L41">
        <v>45</v>
      </c>
      <c r="M41">
        <v>90</v>
      </c>
      <c r="N41">
        <v>90</v>
      </c>
      <c r="O41">
        <v>90</v>
      </c>
      <c r="P41">
        <v>92</v>
      </c>
      <c r="Q41">
        <v>88</v>
      </c>
      <c r="R41" t="str">
        <v>N/A</v>
      </c>
      <c r="S41">
        <v>91</v>
      </c>
      <c r="T41">
        <f>IF(OR(M41="N/A",P41="N/A"),"N/A",ROUND(P41/M41*100,1))</f>
      </c>
      <c r="U41">
        <f>IF(OR(N41="N/A",Q41="N/A"),"N/A",ROUND(IF(Q41/N41&gt;=1,Q41/N41,MIN(1,(Q41/N41)+(IF(OR(R41="N/A",R41=""),0,R41/N41))))*100,1))</f>
      </c>
      <c r="V41">
        <f>IF(OR(O41="N/A",S41="N/A"),"N/A",ROUND(S41/O41*100,1))</f>
      </c>
      <c r="W41">
        <f>IF(COUNT(T41:V41)&gt;0,ROUND(AVERAGE(T41:V41),1),"N/A")</f>
      </c>
      <c r="X41" t="str">
        <v>Kỳ học theo khóa</v>
      </c>
    </row>
    <row r="42">
      <c r="A42">
        <v>41</v>
      </c>
      <c r="B42" t="str">
        <v>BBAE</v>
      </c>
      <c r="C42" t="str">
        <v>BBAE - Cử nhân Khởi nghiệp &amp; PTKD</v>
      </c>
      <c r="D42" t="str">
        <v>Cử nhân cấp bằng (Full 4 năm)</v>
      </c>
      <c r="E42" t="str">
        <v>BBAE</v>
      </c>
      <c r="F42" t="str">
        <v>Năm 3</v>
      </c>
      <c r="G42" t="str">
        <v>SEM 1</v>
      </c>
      <c r="H42" t="str">
        <v>LLDL1102</v>
      </c>
      <c r="I42" t="str">
        <v>Lịch sử Đảng CSVN</v>
      </c>
      <c r="J42" t="str">
        <v>Nguyễn Minh Tuấn</v>
      </c>
      <c r="K42">
        <v>2</v>
      </c>
      <c r="L42">
        <v>45</v>
      </c>
      <c r="M42">
        <v>90</v>
      </c>
      <c r="N42">
        <v>90</v>
      </c>
      <c r="O42">
        <v>90</v>
      </c>
      <c r="P42">
        <v>92</v>
      </c>
      <c r="Q42">
        <v>88</v>
      </c>
      <c r="R42" t="str">
        <v>N/A</v>
      </c>
      <c r="S42">
        <v>91</v>
      </c>
      <c r="T42">
        <f>IF(OR(M42="N/A",P42="N/A"),"N/A",ROUND(P42/M42*100,1))</f>
      </c>
      <c r="U42">
        <f>IF(OR(N42="N/A",Q42="N/A"),"N/A",ROUND(IF(Q42/N42&gt;=1,Q42/N42,MIN(1,(Q42/N42)+(IF(OR(R42="N/A",R42=""),0,R42/N42))))*100,1))</f>
      </c>
      <c r="V42">
        <f>IF(OR(O42="N/A",S42="N/A"),"N/A",ROUND(S42/O42*100,1))</f>
      </c>
      <c r="W42">
        <f>IF(COUNT(T42:V42)&gt;0,ROUND(AVERAGE(T42:V42),1),"N/A")</f>
      </c>
      <c r="X42" t="str">
        <v>Kỳ học theo khóa</v>
      </c>
    </row>
    <row r="43">
      <c r="A43">
        <v>42</v>
      </c>
      <c r="B43" t="str">
        <v>BBAE</v>
      </c>
      <c r="C43" t="str">
        <v>BBAE - Cử nhân Khởi nghiệp &amp; PTKD</v>
      </c>
      <c r="D43" t="str">
        <v>Cử nhân cấp bằng (Full 4 năm)</v>
      </c>
      <c r="E43" t="str">
        <v>BBAE</v>
      </c>
      <c r="F43" t="str">
        <v>Năm 3</v>
      </c>
      <c r="G43" t="str">
        <v>SEM 1</v>
      </c>
      <c r="H43" t="str">
        <v>LLNL1106</v>
      </c>
      <c r="I43" t="str">
        <v>Kinh tế chính trị Marx-Lenin</v>
      </c>
      <c r="J43" t="str">
        <v>Nguyễn Minh Tuấn</v>
      </c>
      <c r="K43">
        <v>2</v>
      </c>
      <c r="L43">
        <v>45</v>
      </c>
      <c r="M43">
        <v>90</v>
      </c>
      <c r="N43">
        <v>90</v>
      </c>
      <c r="O43">
        <v>90</v>
      </c>
      <c r="P43">
        <v>92</v>
      </c>
      <c r="Q43">
        <v>88</v>
      </c>
      <c r="R43" t="str">
        <v>N/A</v>
      </c>
      <c r="S43">
        <v>91</v>
      </c>
      <c r="T43">
        <f>IF(OR(M43="N/A",P43="N/A"),"N/A",ROUND(P43/M43*100,1))</f>
      </c>
      <c r="U43">
        <f>IF(OR(N43="N/A",Q43="N/A"),"N/A",ROUND(IF(Q43/N43&gt;=1,Q43/N43,MIN(1,(Q43/N43)+(IF(OR(R43="N/A",R43=""),0,R43/N43))))*100,1))</f>
      </c>
      <c r="V43">
        <f>IF(OR(O43="N/A",S43="N/A"),"N/A",ROUND(S43/O43*100,1))</f>
      </c>
      <c r="W43">
        <f>IF(COUNT(T43:V43)&gt;0,ROUND(AVERAGE(T43:V43),1),"N/A")</f>
      </c>
      <c r="X43" t="str">
        <v>Kỳ học theo khóa</v>
      </c>
    </row>
    <row r="44">
      <c r="A44">
        <v>43</v>
      </c>
      <c r="B44" t="str">
        <v>BBAE</v>
      </c>
      <c r="C44" t="str">
        <v>BBAE - Cử nhân Khởi nghiệp &amp; PTKD</v>
      </c>
      <c r="D44" t="str">
        <v>Cử nhân cấp bằng (Full 4 năm)</v>
      </c>
      <c r="E44" t="str">
        <v>BBAE</v>
      </c>
      <c r="F44" t="str">
        <v>Năm 3</v>
      </c>
      <c r="G44" t="str">
        <v>SEM 1</v>
      </c>
      <c r="H44" t="str">
        <v>LLNL1107</v>
      </c>
      <c r="I44" t="str">
        <v>Chủ nghĩa xã hội Khoa học</v>
      </c>
      <c r="J44" t="str">
        <v>Nguyễn Minh Tuấn</v>
      </c>
      <c r="K44">
        <v>2</v>
      </c>
      <c r="L44">
        <v>45</v>
      </c>
      <c r="M44">
        <v>90</v>
      </c>
      <c r="N44">
        <v>90</v>
      </c>
      <c r="O44">
        <v>90</v>
      </c>
      <c r="P44">
        <v>92</v>
      </c>
      <c r="Q44">
        <v>88</v>
      </c>
      <c r="R44" t="str">
        <v>N/A</v>
      </c>
      <c r="S44">
        <v>91</v>
      </c>
      <c r="T44">
        <f>IF(OR(M44="N/A",P44="N/A"),"N/A",ROUND(P44/M44*100,1))</f>
      </c>
      <c r="U44">
        <f>IF(OR(N44="N/A",Q44="N/A"),"N/A",ROUND(IF(Q44/N44&gt;=1,Q44/N44,MIN(1,(Q44/N44)+(IF(OR(R44="N/A",R44=""),0,R44/N44))))*100,1))</f>
      </c>
      <c r="V44">
        <f>IF(OR(O44="N/A",S44="N/A"),"N/A",ROUND(S44/O44*100,1))</f>
      </c>
      <c r="W44">
        <f>IF(COUNT(T44:V44)&gt;0,ROUND(AVERAGE(T44:V44),1),"N/A")</f>
      </c>
      <c r="X44" t="str">
        <v>Kỳ học theo khóa</v>
      </c>
    </row>
    <row r="45">
      <c r="A45">
        <v>44</v>
      </c>
      <c r="B45" t="str">
        <v>BBAE</v>
      </c>
      <c r="C45" t="str">
        <v>BBAE - Cử nhân Khởi nghiệp &amp; PTKD</v>
      </c>
      <c r="D45" t="str">
        <v>Cử nhân cấp bằng (Full 4 năm)</v>
      </c>
      <c r="E45" t="str">
        <v>BBAE</v>
      </c>
      <c r="F45" t="str">
        <v>Năm 3</v>
      </c>
      <c r="G45" t="str">
        <v>SEM 2</v>
      </c>
      <c r="H45" t="str">
        <v>BBAE1131</v>
      </c>
      <c r="I45" t="str">
        <v>Management of Info System</v>
      </c>
      <c r="J45" t="str">
        <v>Nguyễn Minh Tuấn</v>
      </c>
      <c r="K45">
        <v>2</v>
      </c>
      <c r="L45">
        <v>45</v>
      </c>
      <c r="M45">
        <v>90</v>
      </c>
      <c r="N45">
        <v>90</v>
      </c>
      <c r="O45">
        <v>90</v>
      </c>
      <c r="P45">
        <v>92</v>
      </c>
      <c r="Q45">
        <v>88</v>
      </c>
      <c r="R45" t="str">
        <v>N/A</v>
      </c>
      <c r="S45">
        <v>91</v>
      </c>
      <c r="T45">
        <f>IF(OR(M45="N/A",P45="N/A"),"N/A",ROUND(P45/M45*100,1))</f>
      </c>
      <c r="U45">
        <f>IF(OR(N45="N/A",Q45="N/A"),"N/A",ROUND(IF(Q45/N45&gt;=1,Q45/N45,MIN(1,(Q45/N45)+(IF(OR(R45="N/A",R45=""),0,R45/N45))))*100,1))</f>
      </c>
      <c r="V45">
        <f>IF(OR(O45="N/A",S45="N/A"),"N/A",ROUND(S45/O45*100,1))</f>
      </c>
      <c r="W45">
        <f>IF(COUNT(T45:V45)&gt;0,ROUND(AVERAGE(T45:V45),1),"N/A")</f>
      </c>
      <c r="X45" t="str">
        <v>Kỳ 2 (Kỳ hiện tại)</v>
      </c>
    </row>
    <row r="46">
      <c r="A46">
        <v>45</v>
      </c>
      <c r="B46" t="str">
        <v>BBAE</v>
      </c>
      <c r="C46" t="str">
        <v>BBAE - Cử nhân Khởi nghiệp &amp; PTKD</v>
      </c>
      <c r="D46" t="str">
        <v>Cử nhân cấp bằng (Full 4 năm)</v>
      </c>
      <c r="E46" t="str">
        <v>BBAE</v>
      </c>
      <c r="F46" t="str">
        <v>Năm 3</v>
      </c>
      <c r="G46" t="str">
        <v>SEM 2</v>
      </c>
      <c r="H46" t="str">
        <v>BBAE1134</v>
      </c>
      <c r="I46" t="str">
        <v>Intercultural &amp; Communication Mgt</v>
      </c>
      <c r="J46" t="str">
        <v>Nguyễn Minh Tuấn</v>
      </c>
      <c r="K46">
        <v>2</v>
      </c>
      <c r="L46">
        <v>45</v>
      </c>
      <c r="M46">
        <v>90</v>
      </c>
      <c r="N46">
        <v>90</v>
      </c>
      <c r="O46">
        <v>90</v>
      </c>
      <c r="P46">
        <v>92</v>
      </c>
      <c r="Q46">
        <v>88</v>
      </c>
      <c r="R46" t="str">
        <v>N/A</v>
      </c>
      <c r="S46">
        <v>91</v>
      </c>
      <c r="T46">
        <f>IF(OR(M46="N/A",P46="N/A"),"N/A",ROUND(P46/M46*100,1))</f>
      </c>
      <c r="U46">
        <f>IF(OR(N46="N/A",Q46="N/A"),"N/A",ROUND(IF(Q46/N46&gt;=1,Q46/N46,MIN(1,(Q46/N46)+(IF(OR(R46="N/A",R46=""),0,R46/N46))))*100,1))</f>
      </c>
      <c r="V46">
        <f>IF(OR(O46="N/A",S46="N/A"),"N/A",ROUND(S46/O46*100,1))</f>
      </c>
      <c r="W46">
        <f>IF(COUNT(T46:V46)&gt;0,ROUND(AVERAGE(T46:V46),1),"N/A")</f>
      </c>
      <c r="X46" t="str">
        <v>Kỳ 2 (Kỳ hiện tại)</v>
      </c>
    </row>
    <row r="47">
      <c r="A47">
        <v>46</v>
      </c>
      <c r="B47" t="str">
        <v>BBAE</v>
      </c>
      <c r="C47" t="str">
        <v>BBAE - Cử nhân Khởi nghiệp &amp; PTKD</v>
      </c>
      <c r="D47" t="str">
        <v>Cử nhân cấp bằng (Full 4 năm)</v>
      </c>
      <c r="E47" t="str">
        <v>BBAE</v>
      </c>
      <c r="F47" t="str">
        <v>Năm 3</v>
      </c>
      <c r="G47" t="str">
        <v>SEM 2</v>
      </c>
      <c r="H47" t="str">
        <v>BBAE1142</v>
      </c>
      <c r="I47" t="str">
        <v>Entrepreneurial Skills</v>
      </c>
      <c r="J47" t="str">
        <v>Nguyễn Minh Tuấn</v>
      </c>
      <c r="K47">
        <v>2</v>
      </c>
      <c r="L47">
        <v>45</v>
      </c>
      <c r="M47">
        <v>90</v>
      </c>
      <c r="N47">
        <v>90</v>
      </c>
      <c r="O47">
        <v>90</v>
      </c>
      <c r="P47">
        <v>92</v>
      </c>
      <c r="Q47">
        <v>88</v>
      </c>
      <c r="R47" t="str">
        <v>N/A</v>
      </c>
      <c r="S47">
        <v>91</v>
      </c>
      <c r="T47">
        <f>IF(OR(M47="N/A",P47="N/A"),"N/A",ROUND(P47/M47*100,1))</f>
      </c>
      <c r="U47">
        <f>IF(OR(N47="N/A",Q47="N/A"),"N/A",ROUND(IF(Q47/N47&gt;=1,Q47/N47,MIN(1,(Q47/N47)+(IF(OR(R47="N/A",R47=""),0,R47/N47))))*100,1))</f>
      </c>
      <c r="V47">
        <f>IF(OR(O47="N/A",S47="N/A"),"N/A",ROUND(S47/O47*100,1))</f>
      </c>
      <c r="W47">
        <f>IF(COUNT(T47:V47)&gt;0,ROUND(AVERAGE(T47:V47),1),"N/A")</f>
      </c>
      <c r="X47" t="str">
        <v>Kỳ 2 (Kỳ hiện tại)</v>
      </c>
    </row>
    <row r="48">
      <c r="A48">
        <v>47</v>
      </c>
      <c r="B48" t="str">
        <v>BBAE</v>
      </c>
      <c r="C48" t="str">
        <v>BBAE - Cử nhân Khởi nghiệp &amp; PTKD</v>
      </c>
      <c r="D48" t="str">
        <v>Cử nhân cấp bằng (Full 4 năm)</v>
      </c>
      <c r="E48" t="str">
        <v>BBAE</v>
      </c>
      <c r="F48" t="str">
        <v>Năm 3</v>
      </c>
      <c r="G48" t="str">
        <v>SEM 2</v>
      </c>
      <c r="H48" t="str">
        <v>BBAE1143</v>
      </c>
      <c r="I48" t="str">
        <v>Creativity &amp; Innovation Mgt</v>
      </c>
      <c r="J48" t="str">
        <v>Nguyễn Minh Tuấn</v>
      </c>
      <c r="K48">
        <v>2</v>
      </c>
      <c r="L48">
        <v>45</v>
      </c>
      <c r="M48">
        <v>90</v>
      </c>
      <c r="N48">
        <v>90</v>
      </c>
      <c r="O48">
        <v>90</v>
      </c>
      <c r="P48">
        <v>92</v>
      </c>
      <c r="Q48">
        <v>88</v>
      </c>
      <c r="R48" t="str">
        <v>N/A</v>
      </c>
      <c r="S48">
        <v>91</v>
      </c>
      <c r="T48">
        <f>IF(OR(M48="N/A",P48="N/A"),"N/A",ROUND(P48/M48*100,1))</f>
      </c>
      <c r="U48">
        <f>IF(OR(N48="N/A",Q48="N/A"),"N/A",ROUND(IF(Q48/N48&gt;=1,Q48/N48,MIN(1,(Q48/N48)+(IF(OR(R48="N/A",R48=""),0,R48/N48))))*100,1))</f>
      </c>
      <c r="V48">
        <f>IF(OR(O48="N/A",S48="N/A"),"N/A",ROUND(S48/O48*100,1))</f>
      </c>
      <c r="W48">
        <f>IF(COUNT(T48:V48)&gt;0,ROUND(AVERAGE(T48:V48),1),"N/A")</f>
      </c>
      <c r="X48" t="str">
        <v>Kỳ 2 (Kỳ hiện tại)</v>
      </c>
    </row>
    <row r="49">
      <c r="A49">
        <v>48</v>
      </c>
      <c r="B49" t="str">
        <v>BBAE</v>
      </c>
      <c r="C49" t="str">
        <v>BBAE - Cử nhân Khởi nghiệp &amp; PTKD</v>
      </c>
      <c r="D49" t="str">
        <v>Cử nhân cấp bằng (Full 4 năm)</v>
      </c>
      <c r="E49" t="str">
        <v>BBAE</v>
      </c>
      <c r="F49" t="str">
        <v>Năm 3</v>
      </c>
      <c r="G49" t="str">
        <v>SEM 2</v>
      </c>
      <c r="H49" t="str">
        <v>BBAE1144</v>
      </c>
      <c r="I49" t="str">
        <v>Entrepreneurial Design Thinking</v>
      </c>
      <c r="J49" t="str">
        <v>Nguyễn Minh Tuấn</v>
      </c>
      <c r="K49">
        <v>2</v>
      </c>
      <c r="L49">
        <v>45</v>
      </c>
      <c r="M49">
        <v>90</v>
      </c>
      <c r="N49">
        <v>90</v>
      </c>
      <c r="O49">
        <v>90</v>
      </c>
      <c r="P49">
        <v>92</v>
      </c>
      <c r="Q49">
        <v>88</v>
      </c>
      <c r="R49" t="str">
        <v>N/A</v>
      </c>
      <c r="S49">
        <v>91</v>
      </c>
      <c r="T49">
        <f>IF(OR(M49="N/A",P49="N/A"),"N/A",ROUND(P49/M49*100,1))</f>
      </c>
      <c r="U49">
        <f>IF(OR(N49="N/A",Q49="N/A"),"N/A",ROUND(IF(Q49/N49&gt;=1,Q49/N49,MIN(1,(Q49/N49)+(IF(OR(R49="N/A",R49=""),0,R49/N49))))*100,1))</f>
      </c>
      <c r="V49">
        <f>IF(OR(O49="N/A",S49="N/A"),"N/A",ROUND(S49/O49*100,1))</f>
      </c>
      <c r="W49">
        <f>IF(COUNT(T49:V49)&gt;0,ROUND(AVERAGE(T49:V49),1),"N/A")</f>
      </c>
      <c r="X49" t="str">
        <v>Kỳ 2 (Kỳ hiện tại)</v>
      </c>
    </row>
    <row r="50">
      <c r="A50">
        <v>49</v>
      </c>
      <c r="B50" t="str">
        <v>BBAE</v>
      </c>
      <c r="C50" t="str">
        <v>BBAE - Cử nhân Khởi nghiệp &amp; PTKD</v>
      </c>
      <c r="D50" t="str">
        <v>Cử nhân cấp bằng (Full 4 năm)</v>
      </c>
      <c r="E50" t="str">
        <v>BBAE</v>
      </c>
      <c r="F50" t="str">
        <v>Năm 3</v>
      </c>
      <c r="G50" t="str">
        <v>SEM 2</v>
      </c>
      <c r="H50" t="str">
        <v>LLTT1101</v>
      </c>
      <c r="I50" t="str">
        <v>Tư tưởng HCM</v>
      </c>
      <c r="J50" t="str">
        <v>Nguyễn Minh Tuấn</v>
      </c>
      <c r="K50">
        <v>2</v>
      </c>
      <c r="L50">
        <v>45</v>
      </c>
      <c r="M50">
        <v>90</v>
      </c>
      <c r="N50">
        <v>90</v>
      </c>
      <c r="O50">
        <v>90</v>
      </c>
      <c r="P50">
        <v>92</v>
      </c>
      <c r="Q50">
        <v>88</v>
      </c>
      <c r="R50" t="str">
        <v>N/A</v>
      </c>
      <c r="S50">
        <v>91</v>
      </c>
      <c r="T50">
        <f>IF(OR(M50="N/A",P50="N/A"),"N/A",ROUND(P50/M50*100,1))</f>
      </c>
      <c r="U50">
        <f>IF(OR(N50="N/A",Q50="N/A"),"N/A",ROUND(IF(Q50/N50&gt;=1,Q50/N50,MIN(1,(Q50/N50)+(IF(OR(R50="N/A",R50=""),0,R50/N50))))*100,1))</f>
      </c>
      <c r="V50">
        <f>IF(OR(O50="N/A",S50="N/A"),"N/A",ROUND(S50/O50*100,1))</f>
      </c>
      <c r="W50">
        <f>IF(COUNT(T50:V50)&gt;0,ROUND(AVERAGE(T50:V50),1),"N/A")</f>
      </c>
      <c r="X50" t="str">
        <v>Kỳ 2 (Kỳ hiện tại)</v>
      </c>
    </row>
    <row r="51">
      <c r="A51">
        <v>50</v>
      </c>
      <c r="B51" t="str">
        <v>BBAE</v>
      </c>
      <c r="C51" t="str">
        <v>BBAE - Cử nhân Khởi nghiệp &amp; PTKD</v>
      </c>
      <c r="D51" t="str">
        <v>Cử nhân cấp bằng (Full 4 năm)</v>
      </c>
      <c r="E51" t="str">
        <v>BBAE</v>
      </c>
      <c r="F51" t="str">
        <v>Năm 4</v>
      </c>
      <c r="G51" t="str">
        <v>SEM 1</v>
      </c>
      <c r="H51" t="str">
        <v>BBAE1127</v>
      </c>
      <c r="I51" t="str">
        <v>Human Resource Management</v>
      </c>
      <c r="J51" t="str">
        <v>Nguyễn Minh Tuấn</v>
      </c>
      <c r="K51">
        <v>2</v>
      </c>
      <c r="L51">
        <v>45</v>
      </c>
      <c r="M51">
        <v>90</v>
      </c>
      <c r="N51">
        <v>90</v>
      </c>
      <c r="O51">
        <v>90</v>
      </c>
      <c r="P51">
        <v>92</v>
      </c>
      <c r="Q51">
        <v>88</v>
      </c>
      <c r="R51" t="str">
        <v>N/A</v>
      </c>
      <c r="S51">
        <v>91</v>
      </c>
      <c r="T51">
        <f>IF(OR(M51="N/A",P51="N/A"),"N/A",ROUND(P51/M51*100,1))</f>
      </c>
      <c r="U51">
        <f>IF(OR(N51="N/A",Q51="N/A"),"N/A",ROUND(IF(Q51/N51&gt;=1,Q51/N51,MIN(1,(Q51/N51)+(IF(OR(R51="N/A",R51=""),0,R51/N51))))*100,1))</f>
      </c>
      <c r="V51">
        <f>IF(OR(O51="N/A",S51="N/A"),"N/A",ROUND(S51/O51*100,1))</f>
      </c>
      <c r="W51">
        <f>IF(COUNT(T51:V51)&gt;0,ROUND(AVERAGE(T51:V51),1),"N/A")</f>
      </c>
      <c r="X51" t="str">
        <v>Kỳ học theo khóa</v>
      </c>
    </row>
    <row r="52">
      <c r="A52">
        <v>51</v>
      </c>
      <c r="B52" t="str">
        <v>BBAE</v>
      </c>
      <c r="C52" t="str">
        <v>BBAE - Cử nhân Khởi nghiệp &amp; PTKD</v>
      </c>
      <c r="D52" t="str">
        <v>Cử nhân cấp bằng (Full 4 năm)</v>
      </c>
      <c r="E52" t="str">
        <v>BBAE</v>
      </c>
      <c r="F52" t="str">
        <v>Năm 4</v>
      </c>
      <c r="G52" t="str">
        <v>SEM 1</v>
      </c>
      <c r="H52" t="str">
        <v>BBAE1128</v>
      </c>
      <c r="I52" t="str">
        <v>Market Research</v>
      </c>
      <c r="J52" t="str">
        <v>Nguyễn Minh Tuấn</v>
      </c>
      <c r="K52">
        <v>2</v>
      </c>
      <c r="L52">
        <v>45</v>
      </c>
      <c r="M52">
        <v>90</v>
      </c>
      <c r="N52">
        <v>90</v>
      </c>
      <c r="O52">
        <v>90</v>
      </c>
      <c r="P52">
        <v>92</v>
      </c>
      <c r="Q52">
        <v>88</v>
      </c>
      <c r="R52" t="str">
        <v>N/A</v>
      </c>
      <c r="S52">
        <v>91</v>
      </c>
      <c r="T52">
        <f>IF(OR(M52="N/A",P52="N/A"),"N/A",ROUND(P52/M52*100,1))</f>
      </c>
      <c r="U52">
        <f>IF(OR(N52="N/A",Q52="N/A"),"N/A",ROUND(IF(Q52/N52&gt;=1,Q52/N52,MIN(1,(Q52/N52)+(IF(OR(R52="N/A",R52=""),0,R52/N52))))*100,1))</f>
      </c>
      <c r="V52">
        <f>IF(OR(O52="N/A",S52="N/A"),"N/A",ROUND(S52/O52*100,1))</f>
      </c>
      <c r="W52">
        <f>IF(COUNT(T52:V52)&gt;0,ROUND(AVERAGE(T52:V52),1),"N/A")</f>
      </c>
      <c r="X52" t="str">
        <v>Kỳ học theo khóa</v>
      </c>
    </row>
    <row r="53">
      <c r="A53">
        <v>52</v>
      </c>
      <c r="B53" t="str">
        <v>BBAE</v>
      </c>
      <c r="C53" t="str">
        <v>BBAE - Cử nhân Khởi nghiệp &amp; PTKD</v>
      </c>
      <c r="D53" t="str">
        <v>Cử nhân cấp bằng (Full 4 năm)</v>
      </c>
      <c r="E53" t="str">
        <v>BBAE</v>
      </c>
      <c r="F53" t="str">
        <v>Năm 4</v>
      </c>
      <c r="G53" t="str">
        <v>SEM 1</v>
      </c>
      <c r="H53" t="str">
        <v>BBAE1136</v>
      </c>
      <c r="I53" t="str">
        <v>Project Mgt</v>
      </c>
      <c r="J53" t="str">
        <v>Nguyễn Minh Tuấn</v>
      </c>
      <c r="K53">
        <v>2</v>
      </c>
      <c r="L53">
        <v>45</v>
      </c>
      <c r="M53">
        <v>90</v>
      </c>
      <c r="N53">
        <v>90</v>
      </c>
      <c r="O53">
        <v>90</v>
      </c>
      <c r="P53">
        <v>92</v>
      </c>
      <c r="Q53">
        <v>88</v>
      </c>
      <c r="R53" t="str">
        <v>N/A</v>
      </c>
      <c r="S53">
        <v>91</v>
      </c>
      <c r="T53">
        <f>IF(OR(M53="N/A",P53="N/A"),"N/A",ROUND(P53/M53*100,1))</f>
      </c>
      <c r="U53">
        <f>IF(OR(N53="N/A",Q53="N/A"),"N/A",ROUND(IF(Q53/N53&gt;=1,Q53/N53,MIN(1,(Q53/N53)+(IF(OR(R53="N/A",R53=""),0,R53/N53))))*100,1))</f>
      </c>
      <c r="V53">
        <f>IF(OR(O53="N/A",S53="N/A"),"N/A",ROUND(S53/O53*100,1))</f>
      </c>
      <c r="W53">
        <f>IF(COUNT(T53:V53)&gt;0,ROUND(AVERAGE(T53:V53),1),"N/A")</f>
      </c>
      <c r="X53" t="str">
        <v>Kỳ học theo khóa</v>
      </c>
    </row>
    <row r="54">
      <c r="A54">
        <v>53</v>
      </c>
      <c r="B54" t="str">
        <v>BBAE</v>
      </c>
      <c r="C54" t="str">
        <v>BBAE - Cử nhân Khởi nghiệp &amp; PTKD</v>
      </c>
      <c r="D54" t="str">
        <v>Cử nhân cấp bằng (Full 4 năm)</v>
      </c>
      <c r="E54" t="str">
        <v>BBAE</v>
      </c>
      <c r="F54" t="str">
        <v>Năm 4</v>
      </c>
      <c r="G54" t="str">
        <v>SEM 1</v>
      </c>
      <c r="H54" t="str">
        <v>BBAE1137</v>
      </c>
      <c r="I54" t="str">
        <v>Digital Marketing</v>
      </c>
      <c r="J54" t="str">
        <v>Nguyễn Minh Tuấn</v>
      </c>
      <c r="K54">
        <v>2</v>
      </c>
      <c r="L54">
        <v>45</v>
      </c>
      <c r="M54">
        <v>90</v>
      </c>
      <c r="N54">
        <v>90</v>
      </c>
      <c r="O54">
        <v>90</v>
      </c>
      <c r="P54">
        <v>92</v>
      </c>
      <c r="Q54">
        <v>88</v>
      </c>
      <c r="R54" t="str">
        <v>N/A</v>
      </c>
      <c r="S54">
        <v>91</v>
      </c>
      <c r="T54">
        <f>IF(OR(M54="N/A",P54="N/A"),"N/A",ROUND(P54/M54*100,1))</f>
      </c>
      <c r="U54">
        <f>IF(OR(N54="N/A",Q54="N/A"),"N/A",ROUND(IF(Q54/N54&gt;=1,Q54/N54,MIN(1,(Q54/N54)+(IF(OR(R54="N/A",R54=""),0,R54/N54))))*100,1))</f>
      </c>
      <c r="V54">
        <f>IF(OR(O54="N/A",S54="N/A"),"N/A",ROUND(S54/O54*100,1))</f>
      </c>
      <c r="W54">
        <f>IF(COUNT(T54:V54)&gt;0,ROUND(AVERAGE(T54:V54),1),"N/A")</f>
      </c>
      <c r="X54" t="str">
        <v>Kỳ học theo khóa</v>
      </c>
    </row>
    <row r="55">
      <c r="A55">
        <v>54</v>
      </c>
      <c r="B55" t="str">
        <v>BBAE</v>
      </c>
      <c r="C55" t="str">
        <v>BBAE - Cử nhân Khởi nghiệp &amp; PTKD</v>
      </c>
      <c r="D55" t="str">
        <v>Cử nhân cấp bằng (Full 4 năm)</v>
      </c>
      <c r="E55" t="str">
        <v>BBAE</v>
      </c>
      <c r="F55" t="str">
        <v>Năm 4</v>
      </c>
      <c r="G55" t="str">
        <v>SEM 1</v>
      </c>
      <c r="H55" t="str">
        <v>BBAE1145</v>
      </c>
      <c r="I55" t="str">
        <v>New Venture Creation</v>
      </c>
      <c r="J55" t="str">
        <v>Nguyễn Minh Tuấn</v>
      </c>
      <c r="K55">
        <v>2</v>
      </c>
      <c r="L55">
        <v>45</v>
      </c>
      <c r="M55">
        <v>90</v>
      </c>
      <c r="N55">
        <v>90</v>
      </c>
      <c r="O55">
        <v>90</v>
      </c>
      <c r="P55">
        <v>92</v>
      </c>
      <c r="Q55">
        <v>88</v>
      </c>
      <c r="R55" t="str">
        <v>N/A</v>
      </c>
      <c r="S55">
        <v>91</v>
      </c>
      <c r="T55">
        <f>IF(OR(M55="N/A",P55="N/A"),"N/A",ROUND(P55/M55*100,1))</f>
      </c>
      <c r="U55">
        <f>IF(OR(N55="N/A",Q55="N/A"),"N/A",ROUND(IF(Q55/N55&gt;=1,Q55/N55,MIN(1,(Q55/N55)+(IF(OR(R55="N/A",R55=""),0,R55/N55))))*100,1))</f>
      </c>
      <c r="V55">
        <f>IF(OR(O55="N/A",S55="N/A"),"N/A",ROUND(S55/O55*100,1))</f>
      </c>
      <c r="W55">
        <f>IF(COUNT(T55:V55)&gt;0,ROUND(AVERAGE(T55:V55),1),"N/A")</f>
      </c>
      <c r="X55" t="str">
        <v>Kỳ học theo khóa</v>
      </c>
    </row>
    <row r="56">
      <c r="A56">
        <v>55</v>
      </c>
      <c r="B56" t="str">
        <v>BBAE</v>
      </c>
      <c r="C56" t="str">
        <v>BBAE - Cử nhân Khởi nghiệp &amp; PTKD</v>
      </c>
      <c r="D56" t="str">
        <v>Cử nhân cấp bằng (Full 4 năm)</v>
      </c>
      <c r="E56" t="str">
        <v>BBAE</v>
      </c>
      <c r="F56" t="str">
        <v>Năm 4</v>
      </c>
      <c r="G56" t="str">
        <v>SEM 2</v>
      </c>
      <c r="H56" t="str">
        <v>BBAE1146</v>
      </c>
      <c r="I56" t="str">
        <v>Internship</v>
      </c>
      <c r="J56" t="str">
        <v>Nguyễn Minh Tuấn</v>
      </c>
      <c r="K56">
        <v>2</v>
      </c>
      <c r="L56">
        <v>45</v>
      </c>
      <c r="M56">
        <v>90</v>
      </c>
      <c r="N56">
        <v>90</v>
      </c>
      <c r="O56">
        <v>90</v>
      </c>
      <c r="P56">
        <v>92</v>
      </c>
      <c r="Q56">
        <v>88</v>
      </c>
      <c r="R56" t="str">
        <v>N/A</v>
      </c>
      <c r="S56">
        <v>91</v>
      </c>
      <c r="T56">
        <f>IF(OR(M56="N/A",P56="N/A"),"N/A",ROUND(P56/M56*100,1))</f>
      </c>
      <c r="U56">
        <f>IF(OR(N56="N/A",Q56="N/A"),"N/A",ROUND(IF(Q56/N56&gt;=1,Q56/N56,MIN(1,(Q56/N56)+(IF(OR(R56="N/A",R56=""),0,R56/N56))))*100,1))</f>
      </c>
      <c r="V56">
        <f>IF(OR(O56="N/A",S56="N/A"),"N/A",ROUND(S56/O56*100,1))</f>
      </c>
      <c r="W56">
        <f>IF(COUNT(T56:V56)&gt;0,ROUND(AVERAGE(T56:V56),1),"N/A")</f>
      </c>
      <c r="X56" t="str">
        <v>Kỳ 2 (Kỳ hiện tại)</v>
      </c>
    </row>
    <row r="57">
      <c r="A57">
        <v>56</v>
      </c>
      <c r="B57" t="str">
        <v>DM</v>
      </c>
      <c r="C57" t="str">
        <v>Digital Marketing (DM)</v>
      </c>
      <c r="D57" t="str">
        <v>Cử nhân cấp bằng (Full 4 năm)</v>
      </c>
      <c r="E57" t="str">
        <v>DM</v>
      </c>
      <c r="F57" t="str">
        <v>Năm 1</v>
      </c>
      <c r="G57" t="str">
        <v>SEM 1</v>
      </c>
      <c r="H57" t="str">
        <v>FOUND-MACRO</v>
      </c>
      <c r="I57" t="str">
        <v>Macroeconomics</v>
      </c>
      <c r="J57" t="str">
        <v>Bùi Thu Trang</v>
      </c>
      <c r="K57">
        <v>2</v>
      </c>
      <c r="L57">
        <v>45</v>
      </c>
      <c r="M57">
        <v>90</v>
      </c>
      <c r="N57">
        <v>90</v>
      </c>
      <c r="O57">
        <v>90</v>
      </c>
      <c r="P57">
        <v>92</v>
      </c>
      <c r="Q57">
        <v>88</v>
      </c>
      <c r="R57" t="str">
        <v>N/A</v>
      </c>
      <c r="S57">
        <v>91</v>
      </c>
      <c r="T57">
        <f>IF(OR(M57="N/A",P57="N/A"),"N/A",ROUND(P57/M57*100,1))</f>
      </c>
      <c r="U57">
        <f>IF(OR(N57="N/A",Q57="N/A"),"N/A",ROUND(IF(Q57/N57&gt;=1,Q57/N57,MIN(1,(Q57/N57)+(IF(OR(R57="N/A",R57=""),0,R57/N57))))*100,1))</f>
      </c>
      <c r="V57">
        <f>IF(OR(O57="N/A",S57="N/A"),"N/A",ROUND(S57/O57*100,1))</f>
      </c>
      <c r="W57">
        <f>IF(COUNT(T57:V57)&gt;0,ROUND(AVERAGE(T57:V57),1),"N/A")</f>
      </c>
      <c r="X57" t="str">
        <v>Kỳ học theo khóa</v>
      </c>
    </row>
    <row r="58">
      <c r="A58">
        <v>57</v>
      </c>
      <c r="B58" t="str">
        <v>DM</v>
      </c>
      <c r="C58" t="str">
        <v>Digital Marketing (DM)</v>
      </c>
      <c r="D58" t="str">
        <v>Cử nhân cấp bằng (Full 4 năm)</v>
      </c>
      <c r="E58" t="str">
        <v>DM</v>
      </c>
      <c r="F58" t="str">
        <v>Năm 1</v>
      </c>
      <c r="G58" t="str">
        <v>SEM 1</v>
      </c>
      <c r="H58" t="str">
        <v>FOUND-MICRO</v>
      </c>
      <c r="I58" t="str">
        <v>Microeconomics</v>
      </c>
      <c r="J58" t="str">
        <v>Bùi Thu Trang</v>
      </c>
      <c r="K58">
        <v>2</v>
      </c>
      <c r="L58">
        <v>45</v>
      </c>
      <c r="M58">
        <v>90</v>
      </c>
      <c r="N58">
        <v>90</v>
      </c>
      <c r="O58">
        <v>90</v>
      </c>
      <c r="P58">
        <v>92</v>
      </c>
      <c r="Q58">
        <v>88</v>
      </c>
      <c r="R58" t="str">
        <v>N/A</v>
      </c>
      <c r="S58">
        <v>91</v>
      </c>
      <c r="T58">
        <f>IF(OR(M58="N/A",P58="N/A"),"N/A",ROUND(P58/M58*100,1))</f>
      </c>
      <c r="U58">
        <f>IF(OR(N58="N/A",Q58="N/A"),"N/A",ROUND(IF(Q58/N58&gt;=1,Q58/N58,MIN(1,(Q58/N58)+(IF(OR(R58="N/A",R58=""),0,R58/N58))))*100,1))</f>
      </c>
      <c r="V58">
        <f>IF(OR(O58="N/A",S58="N/A"),"N/A",ROUND(S58/O58*100,1))</f>
      </c>
      <c r="W58">
        <f>IF(COUNT(T58:V58)&gt;0,ROUND(AVERAGE(T58:V58),1),"N/A")</f>
      </c>
      <c r="X58" t="str">
        <v>Kỳ học theo khóa</v>
      </c>
    </row>
    <row r="59">
      <c r="A59">
        <v>58</v>
      </c>
      <c r="B59" t="str">
        <v>DM</v>
      </c>
      <c r="C59" t="str">
        <v>Digital Marketing (DM)</v>
      </c>
      <c r="D59" t="str">
        <v>Cử nhân cấp bằng (Full 4 năm)</v>
      </c>
      <c r="E59" t="str">
        <v>DM</v>
      </c>
      <c r="F59" t="str">
        <v>Năm 1</v>
      </c>
      <c r="G59" t="str">
        <v>SEM 1</v>
      </c>
      <c r="H59" t="str">
        <v>FOUND-PLDC</v>
      </c>
      <c r="I59" t="str">
        <v>Fundamentals of Law</v>
      </c>
      <c r="J59" t="str">
        <v>Bùi Thu Trang</v>
      </c>
      <c r="K59">
        <v>2</v>
      </c>
      <c r="L59">
        <v>45</v>
      </c>
      <c r="M59">
        <v>90</v>
      </c>
      <c r="N59">
        <v>90</v>
      </c>
      <c r="O59">
        <v>90</v>
      </c>
      <c r="P59">
        <v>92</v>
      </c>
      <c r="Q59">
        <v>88</v>
      </c>
      <c r="R59" t="str">
        <v>N/A</v>
      </c>
      <c r="S59">
        <v>91</v>
      </c>
      <c r="T59">
        <f>IF(OR(M59="N/A",P59="N/A"),"N/A",ROUND(P59/M59*100,1))</f>
      </c>
      <c r="U59">
        <f>IF(OR(N59="N/A",Q59="N/A"),"N/A",ROUND(IF(Q59/N59&gt;=1,Q59/N59,MIN(1,(Q59/N59)+(IF(OR(R59="N/A",R59=""),0,R59/N59))))*100,1))</f>
      </c>
      <c r="V59">
        <f>IF(OR(O59="N/A",S59="N/A"),"N/A",ROUND(S59/O59*100,1))</f>
      </c>
      <c r="W59">
        <f>IF(COUNT(T59:V59)&gt;0,ROUND(AVERAGE(T59:V59),1),"N/A")</f>
      </c>
      <c r="X59" t="str">
        <v>Kỳ học theo khóa</v>
      </c>
    </row>
    <row r="60">
      <c r="A60">
        <v>59</v>
      </c>
      <c r="B60" t="str">
        <v>DM</v>
      </c>
      <c r="C60" t="str">
        <v>Digital Marketing (DM)</v>
      </c>
      <c r="D60" t="str">
        <v>Cử nhân cấp bằng (Full 4 năm)</v>
      </c>
      <c r="E60" t="str">
        <v>DM</v>
      </c>
      <c r="F60" t="str">
        <v>Năm 1</v>
      </c>
      <c r="G60" t="str">
        <v>SEM 1</v>
      </c>
      <c r="H60" t="str">
        <v>FOUND-QTKD</v>
      </c>
      <c r="I60" t="str">
        <v>Business Management</v>
      </c>
      <c r="J60" t="str">
        <v>Bùi Thu Trang</v>
      </c>
      <c r="K60">
        <v>2</v>
      </c>
      <c r="L60">
        <v>45</v>
      </c>
      <c r="M60">
        <v>90</v>
      </c>
      <c r="N60">
        <v>90</v>
      </c>
      <c r="O60">
        <v>90</v>
      </c>
      <c r="P60">
        <v>92</v>
      </c>
      <c r="Q60">
        <v>88</v>
      </c>
      <c r="R60" t="str">
        <v>N/A</v>
      </c>
      <c r="S60">
        <v>91</v>
      </c>
      <c r="T60">
        <f>IF(OR(M60="N/A",P60="N/A"),"N/A",ROUND(P60/M60*100,1))</f>
      </c>
      <c r="U60">
        <f>IF(OR(N60="N/A",Q60="N/A"),"N/A",ROUND(IF(Q60/N60&gt;=1,Q60/N60,MIN(1,(Q60/N60)+(IF(OR(R60="N/A",R60=""),0,R60/N60))))*100,1))</f>
      </c>
      <c r="V60">
        <f>IF(OR(O60="N/A",S60="N/A"),"N/A",ROUND(S60/O60*100,1))</f>
      </c>
      <c r="W60">
        <f>IF(COUNT(T60:V60)&gt;0,ROUND(AVERAGE(T60:V60),1),"N/A")</f>
      </c>
      <c r="X60" t="str">
        <v>Kỳ học theo khóa</v>
      </c>
    </row>
    <row r="61">
      <c r="A61">
        <v>60</v>
      </c>
      <c r="B61" t="str">
        <v>DM</v>
      </c>
      <c r="C61" t="str">
        <v>Digital Marketing (DM)</v>
      </c>
      <c r="D61" t="str">
        <v>Cử nhân cấp bằng (Full 4 năm)</v>
      </c>
      <c r="E61" t="str">
        <v>DM</v>
      </c>
      <c r="F61" t="str">
        <v>Năm 1</v>
      </c>
      <c r="G61" t="str">
        <v>SEM 1</v>
      </c>
      <c r="H61" t="str">
        <v>FOUND-THDC</v>
      </c>
      <c r="I61" t="str">
        <v>Informatic Fundamental</v>
      </c>
      <c r="J61" t="str">
        <v>Bùi Thu Trang</v>
      </c>
      <c r="K61">
        <v>2</v>
      </c>
      <c r="L61">
        <v>45</v>
      </c>
      <c r="M61">
        <v>90</v>
      </c>
      <c r="N61">
        <v>90</v>
      </c>
      <c r="O61">
        <v>90</v>
      </c>
      <c r="P61">
        <v>92</v>
      </c>
      <c r="Q61">
        <v>88</v>
      </c>
      <c r="R61" t="str">
        <v>N/A</v>
      </c>
      <c r="S61">
        <v>91</v>
      </c>
      <c r="T61">
        <f>IF(OR(M61="N/A",P61="N/A"),"N/A",ROUND(P61/M61*100,1))</f>
      </c>
      <c r="U61">
        <f>IF(OR(N61="N/A",Q61="N/A"),"N/A",ROUND(IF(Q61/N61&gt;=1,Q61/N61,MIN(1,(Q61/N61)+(IF(OR(R61="N/A",R61=""),0,R61/N61))))*100,1))</f>
      </c>
      <c r="V61">
        <f>IF(OR(O61="N/A",S61="N/A"),"N/A",ROUND(S61/O61*100,1))</f>
      </c>
      <c r="W61">
        <f>IF(COUNT(T61:V61)&gt;0,ROUND(AVERAGE(T61:V61),1),"N/A")</f>
      </c>
      <c r="X61" t="str">
        <v>Kỳ học theo khóa</v>
      </c>
    </row>
    <row r="62">
      <c r="A62">
        <v>61</v>
      </c>
      <c r="B62" t="str">
        <v>DM</v>
      </c>
      <c r="C62" t="str">
        <v>Digital Marketing (DM)</v>
      </c>
      <c r="D62" t="str">
        <v>Cử nhân cấp bằng (Full 4 năm)</v>
      </c>
      <c r="E62" t="str">
        <v>DM</v>
      </c>
      <c r="F62" t="str">
        <v>Năm 1</v>
      </c>
      <c r="G62" t="str">
        <v>SEM 2</v>
      </c>
      <c r="H62" t="str">
        <v>MARK402</v>
      </c>
      <c r="I62" t="str">
        <v>Introduction to Marketing Communications</v>
      </c>
      <c r="J62" t="str">
        <v>Bùi Thu Trang</v>
      </c>
      <c r="K62">
        <v>2</v>
      </c>
      <c r="L62">
        <v>45</v>
      </c>
      <c r="M62">
        <v>90</v>
      </c>
      <c r="N62">
        <v>90</v>
      </c>
      <c r="O62">
        <v>90</v>
      </c>
      <c r="P62">
        <v>92</v>
      </c>
      <c r="Q62">
        <v>88</v>
      </c>
      <c r="R62" t="str">
        <v>N/A</v>
      </c>
      <c r="S62">
        <v>91</v>
      </c>
      <c r="T62">
        <f>IF(OR(M62="N/A",P62="N/A"),"N/A",ROUND(P62/M62*100,1))</f>
      </c>
      <c r="U62">
        <f>IF(OR(N62="N/A",Q62="N/A"),"N/A",ROUND(IF(Q62/N62&gt;=1,Q62/N62,MIN(1,(Q62/N62)+(IF(OR(R62="N/A",R62=""),0,R62/N62))))*100,1))</f>
      </c>
      <c r="V62">
        <f>IF(OR(O62="N/A",S62="N/A"),"N/A",ROUND(S62/O62*100,1))</f>
      </c>
      <c r="W62">
        <f>IF(COUNT(T62:V62)&gt;0,ROUND(AVERAGE(T62:V62),1),"N/A")</f>
      </c>
      <c r="X62" t="str">
        <v>Kỳ 2 (Kỳ hiện tại)</v>
      </c>
    </row>
    <row r="63">
      <c r="A63">
        <v>62</v>
      </c>
      <c r="B63" t="str">
        <v>DM</v>
      </c>
      <c r="C63" t="str">
        <v>Digital Marketing (DM)</v>
      </c>
      <c r="D63" t="str">
        <v>Cử nhân cấp bằng (Full 4 năm)</v>
      </c>
      <c r="E63" t="str">
        <v>DM</v>
      </c>
      <c r="F63" t="str">
        <v>Năm 1</v>
      </c>
      <c r="G63" t="str">
        <v>SEM 2</v>
      </c>
      <c r="H63" t="str">
        <v>MARK422</v>
      </c>
      <c r="I63" t="str">
        <v>Digital Marketing Tools</v>
      </c>
      <c r="J63" t="str">
        <v>Bùi Thu Trang</v>
      </c>
      <c r="K63">
        <v>2</v>
      </c>
      <c r="L63">
        <v>45</v>
      </c>
      <c r="M63">
        <v>90</v>
      </c>
      <c r="N63">
        <v>90</v>
      </c>
      <c r="O63">
        <v>90</v>
      </c>
      <c r="P63">
        <v>92</v>
      </c>
      <c r="Q63">
        <v>88</v>
      </c>
      <c r="R63" t="str">
        <v>N/A</v>
      </c>
      <c r="S63">
        <v>91</v>
      </c>
      <c r="T63">
        <f>IF(OR(M63="N/A",P63="N/A"),"N/A",ROUND(P63/M63*100,1))</f>
      </c>
      <c r="U63">
        <f>IF(OR(N63="N/A",Q63="N/A"),"N/A",ROUND(IF(Q63/N63&gt;=1,Q63/N63,MIN(1,(Q63/N63)+(IF(OR(R63="N/A",R63=""),0,R63/N63))))*100,1))</f>
      </c>
      <c r="V63">
        <f>IF(OR(O63="N/A",S63="N/A"),"N/A",ROUND(S63/O63*100,1))</f>
      </c>
      <c r="W63">
        <f>IF(COUNT(T63:V63)&gt;0,ROUND(AVERAGE(T63:V63),1),"N/A")</f>
      </c>
      <c r="X63" t="str">
        <v>Kỳ 2 (Kỳ hiện tại)</v>
      </c>
    </row>
    <row r="64">
      <c r="A64">
        <v>63</v>
      </c>
      <c r="B64" t="str">
        <v>DM</v>
      </c>
      <c r="C64" t="str">
        <v>Digital Marketing (DM)</v>
      </c>
      <c r="D64" t="str">
        <v>Cử nhân cấp bằng (Full 4 năm)</v>
      </c>
      <c r="E64" t="str">
        <v>DM</v>
      </c>
      <c r="F64" t="str">
        <v>Năm 1</v>
      </c>
      <c r="G64" t="str">
        <v>SEM 2</v>
      </c>
      <c r="H64" t="str">
        <v>MARK423</v>
      </c>
      <c r="I64" t="str">
        <v>Marketing Data and Analytics</v>
      </c>
      <c r="J64" t="str">
        <v>Bùi Thu Trang</v>
      </c>
      <c r="K64">
        <v>2</v>
      </c>
      <c r="L64">
        <v>45</v>
      </c>
      <c r="M64">
        <v>90</v>
      </c>
      <c r="N64">
        <v>90</v>
      </c>
      <c r="O64">
        <v>90</v>
      </c>
      <c r="P64">
        <v>92</v>
      </c>
      <c r="Q64">
        <v>88</v>
      </c>
      <c r="R64" t="str">
        <v>N/A</v>
      </c>
      <c r="S64">
        <v>91</v>
      </c>
      <c r="T64">
        <f>IF(OR(M64="N/A",P64="N/A"),"N/A",ROUND(P64/M64*100,1))</f>
      </c>
      <c r="U64">
        <f>IF(OR(N64="N/A",Q64="N/A"),"N/A",ROUND(IF(Q64/N64&gt;=1,Q64/N64,MIN(1,(Q64/N64)+(IF(OR(R64="N/A",R64=""),0,R64/N64))))*100,1))</f>
      </c>
      <c r="V64">
        <f>IF(OR(O64="N/A",S64="N/A"),"N/A",ROUND(S64/O64*100,1))</f>
      </c>
      <c r="W64">
        <f>IF(COUNT(T64:V64)&gt;0,ROUND(AVERAGE(T64:V64),1),"N/A")</f>
      </c>
      <c r="X64" t="str">
        <v>Kỳ 2 (Kỳ hiện tại)</v>
      </c>
    </row>
    <row r="65">
      <c r="A65">
        <v>64</v>
      </c>
      <c r="B65" t="str">
        <v>DM</v>
      </c>
      <c r="C65" t="str">
        <v>Digital Marketing (DM)</v>
      </c>
      <c r="D65" t="str">
        <v>Cử nhân cấp bằng (Full 4 năm)</v>
      </c>
      <c r="E65" t="str">
        <v>DM</v>
      </c>
      <c r="F65" t="str">
        <v>Năm 2</v>
      </c>
      <c r="G65" t="str">
        <v>SEM 1</v>
      </c>
      <c r="H65" t="str">
        <v>MARK410</v>
      </c>
      <c r="I65" t="str">
        <v>Digital Marketing Decisions</v>
      </c>
      <c r="J65" t="str">
        <v>Bùi Thu Trang</v>
      </c>
      <c r="K65">
        <v>2</v>
      </c>
      <c r="L65">
        <v>45</v>
      </c>
      <c r="M65">
        <v>90</v>
      </c>
      <c r="N65">
        <v>90</v>
      </c>
      <c r="O65">
        <v>90</v>
      </c>
      <c r="P65">
        <v>92</v>
      </c>
      <c r="Q65">
        <v>88</v>
      </c>
      <c r="R65" t="str">
        <v>N/A</v>
      </c>
      <c r="S65">
        <v>91</v>
      </c>
      <c r="T65">
        <f>IF(OR(M65="N/A",P65="N/A"),"N/A",ROUND(P65/M65*100,1))</f>
      </c>
      <c r="U65">
        <f>IF(OR(N65="N/A",Q65="N/A"),"N/A",ROUND(IF(Q65/N65&gt;=1,Q65/N65,MIN(1,(Q65/N65)+(IF(OR(R65="N/A",R65=""),0,R65/N65))))*100,1))</f>
      </c>
      <c r="V65">
        <f>IF(OR(O65="N/A",S65="N/A"),"N/A",ROUND(S65/O65*100,1))</f>
      </c>
      <c r="W65">
        <f>IF(COUNT(T65:V65)&gt;0,ROUND(AVERAGE(T65:V65),1),"N/A")</f>
      </c>
      <c r="X65" t="str">
        <v>Kỳ học theo khóa</v>
      </c>
    </row>
    <row r="66">
      <c r="A66">
        <v>65</v>
      </c>
      <c r="B66" t="str">
        <v>DM</v>
      </c>
      <c r="C66" t="str">
        <v>Digital Marketing (DM)</v>
      </c>
      <c r="D66" t="str">
        <v>Cử nhân cấp bằng (Full 4 năm)</v>
      </c>
      <c r="E66" t="str">
        <v>DM</v>
      </c>
      <c r="F66" t="str">
        <v>Năm 2</v>
      </c>
      <c r="G66" t="str">
        <v>SEM 1</v>
      </c>
      <c r="H66" t="str">
        <v>MARK412</v>
      </c>
      <c r="I66" t="str">
        <v>Marketing Essentials</v>
      </c>
      <c r="J66" t="str">
        <v>Bùi Thu Trang</v>
      </c>
      <c r="K66">
        <v>2</v>
      </c>
      <c r="L66">
        <v>45</v>
      </c>
      <c r="M66">
        <v>90</v>
      </c>
      <c r="N66">
        <v>90</v>
      </c>
      <c r="O66">
        <v>90</v>
      </c>
      <c r="P66">
        <v>92</v>
      </c>
      <c r="Q66">
        <v>88</v>
      </c>
      <c r="R66" t="str">
        <v>N/A</v>
      </c>
      <c r="S66">
        <v>91</v>
      </c>
      <c r="T66">
        <f>IF(OR(M66="N/A",P66="N/A"),"N/A",ROUND(P66/M66*100,1))</f>
      </c>
      <c r="U66">
        <f>IF(OR(N66="N/A",Q66="N/A"),"N/A",ROUND(IF(Q66/N66&gt;=1,Q66/N66,MIN(1,(Q66/N66)+(IF(OR(R66="N/A",R66=""),0,R66/N66))))*100,1))</f>
      </c>
      <c r="V66">
        <f>IF(OR(O66="N/A",S66="N/A"),"N/A",ROUND(S66/O66*100,1))</f>
      </c>
      <c r="W66">
        <f>IF(COUNT(T66:V66)&gt;0,ROUND(AVERAGE(T66:V66),1),"N/A")</f>
      </c>
      <c r="X66" t="str">
        <v>Kỳ học theo khóa</v>
      </c>
    </row>
    <row r="67">
      <c r="A67">
        <v>66</v>
      </c>
      <c r="B67" t="str">
        <v>DM</v>
      </c>
      <c r="C67" t="str">
        <v>Digital Marketing (DM)</v>
      </c>
      <c r="D67" t="str">
        <v>Cử nhân cấp bằng (Full 4 năm)</v>
      </c>
      <c r="E67" t="str">
        <v>DM</v>
      </c>
      <c r="F67" t="str">
        <v>Năm 2</v>
      </c>
      <c r="G67" t="str">
        <v>SEM 1</v>
      </c>
      <c r="H67" t="str">
        <v>MARK421</v>
      </c>
      <c r="I67" t="str">
        <v>Digital Marketing Techniques</v>
      </c>
      <c r="J67" t="str">
        <v>Bùi Thu Trang</v>
      </c>
      <c r="K67">
        <v>2</v>
      </c>
      <c r="L67">
        <v>45</v>
      </c>
      <c r="M67">
        <v>90</v>
      </c>
      <c r="N67">
        <v>90</v>
      </c>
      <c r="O67">
        <v>90</v>
      </c>
      <c r="P67">
        <v>92</v>
      </c>
      <c r="Q67">
        <v>88</v>
      </c>
      <c r="R67" t="str">
        <v>N/A</v>
      </c>
      <c r="S67">
        <v>91</v>
      </c>
      <c r="T67">
        <f>IF(OR(M67="N/A",P67="N/A"),"N/A",ROUND(P67/M67*100,1))</f>
      </c>
      <c r="U67">
        <f>IF(OR(N67="N/A",Q67="N/A"),"N/A",ROUND(IF(Q67/N67&gt;=1,Q67/N67,MIN(1,(Q67/N67)+(IF(OR(R67="N/A",R67=""),0,R67/N67))))*100,1))</f>
      </c>
      <c r="V67">
        <f>IF(OR(O67="N/A",S67="N/A"),"N/A",ROUND(S67/O67*100,1))</f>
      </c>
      <c r="W67">
        <f>IF(COUNT(T67:V67)&gt;0,ROUND(AVERAGE(T67:V67),1),"N/A")</f>
      </c>
      <c r="X67" t="str">
        <v>Kỳ học theo khóa</v>
      </c>
    </row>
    <row r="68">
      <c r="A68">
        <v>67</v>
      </c>
      <c r="B68" t="str">
        <v>DM</v>
      </c>
      <c r="C68" t="str">
        <v>Digital Marketing (DM)</v>
      </c>
      <c r="D68" t="str">
        <v>Cử nhân cấp bằng (Full 4 năm)</v>
      </c>
      <c r="E68" t="str">
        <v>DM</v>
      </c>
      <c r="F68" t="str">
        <v>Năm 2</v>
      </c>
      <c r="G68" t="str">
        <v>SEM 2</v>
      </c>
      <c r="H68" t="str">
        <v>MARK521</v>
      </c>
      <c r="I68" t="str">
        <v>Customer Journeys and Insights</v>
      </c>
      <c r="J68" t="str">
        <v>Bùi Thu Trang</v>
      </c>
      <c r="K68">
        <v>2</v>
      </c>
      <c r="L68">
        <v>45</v>
      </c>
      <c r="M68">
        <v>90</v>
      </c>
      <c r="N68">
        <v>90</v>
      </c>
      <c r="O68">
        <v>90</v>
      </c>
      <c r="P68">
        <v>92</v>
      </c>
      <c r="Q68">
        <v>88</v>
      </c>
      <c r="R68" t="str">
        <v>N/A</v>
      </c>
      <c r="S68">
        <v>91</v>
      </c>
      <c r="T68">
        <f>IF(OR(M68="N/A",P68="N/A"),"N/A",ROUND(P68/M68*100,1))</f>
      </c>
      <c r="U68">
        <f>IF(OR(N68="N/A",Q68="N/A"),"N/A",ROUND(IF(Q68/N68&gt;=1,Q68/N68,MIN(1,(Q68/N68)+(IF(OR(R68="N/A",R68=""),0,R68/N68))))*100,1))</f>
      </c>
      <c r="V68">
        <f>IF(OR(O68="N/A",S68="N/A"),"N/A",ROUND(S68/O68*100,1))</f>
      </c>
      <c r="W68">
        <f>IF(COUNT(T68:V68)&gt;0,ROUND(AVERAGE(T68:V68),1),"N/A")</f>
      </c>
      <c r="X68" t="str">
        <v>Kỳ 2 (Kỳ hiện tại)</v>
      </c>
    </row>
    <row r="69">
      <c r="A69">
        <v>68</v>
      </c>
      <c r="B69" t="str">
        <v>DM</v>
      </c>
      <c r="C69" t="str">
        <v>Digital Marketing (DM)</v>
      </c>
      <c r="D69" t="str">
        <v>Cử nhân cấp bằng (Full 4 năm)</v>
      </c>
      <c r="E69" t="str">
        <v>DM</v>
      </c>
      <c r="F69" t="str">
        <v>Năm 2</v>
      </c>
      <c r="G69" t="str">
        <v>SEM 2</v>
      </c>
      <c r="H69" t="str">
        <v>MARK523</v>
      </c>
      <c r="I69" t="str">
        <v>Digital Marketing Planning</v>
      </c>
      <c r="J69" t="str">
        <v>Bùi Thu Trang</v>
      </c>
      <c r="K69">
        <v>2</v>
      </c>
      <c r="L69">
        <v>45</v>
      </c>
      <c r="M69">
        <v>90</v>
      </c>
      <c r="N69">
        <v>90</v>
      </c>
      <c r="O69">
        <v>90</v>
      </c>
      <c r="P69">
        <v>92</v>
      </c>
      <c r="Q69">
        <v>88</v>
      </c>
      <c r="R69" t="str">
        <v>N/A</v>
      </c>
      <c r="S69">
        <v>91</v>
      </c>
      <c r="T69">
        <f>IF(OR(M69="N/A",P69="N/A"),"N/A",ROUND(P69/M69*100,1))</f>
      </c>
      <c r="U69">
        <f>IF(OR(N69="N/A",Q69="N/A"),"N/A",ROUND(IF(Q69/N69&gt;=1,Q69/N69,MIN(1,(Q69/N69)+(IF(OR(R69="N/A",R69=""),0,R69/N69))))*100,1))</f>
      </c>
      <c r="V69">
        <f>IF(OR(O69="N/A",S69="N/A"),"N/A",ROUND(S69/O69*100,1))</f>
      </c>
      <c r="W69">
        <f>IF(COUNT(T69:V69)&gt;0,ROUND(AVERAGE(T69:V69),1),"N/A")</f>
      </c>
      <c r="X69" t="str">
        <v>Kỳ 2 (Kỳ hiện tại)</v>
      </c>
    </row>
    <row r="70">
      <c r="A70">
        <v>69</v>
      </c>
      <c r="B70" t="str">
        <v>DM</v>
      </c>
      <c r="C70" t="str">
        <v>Digital Marketing (DM)</v>
      </c>
      <c r="D70" t="str">
        <v>Cử nhân cấp bằng (Full 4 năm)</v>
      </c>
      <c r="E70" t="str">
        <v>DM</v>
      </c>
      <c r="F70" t="str">
        <v>Năm 2</v>
      </c>
      <c r="G70" t="str">
        <v>SEM 2</v>
      </c>
      <c r="H70" t="str">
        <v>MARK524</v>
      </c>
      <c r="I70" t="str">
        <v>Research for Digital Marketing</v>
      </c>
      <c r="J70" t="str">
        <v>Bùi Thu Trang</v>
      </c>
      <c r="K70">
        <v>2</v>
      </c>
      <c r="L70">
        <v>45</v>
      </c>
      <c r="M70">
        <v>90</v>
      </c>
      <c r="N70">
        <v>90</v>
      </c>
      <c r="O70">
        <v>90</v>
      </c>
      <c r="P70">
        <v>92</v>
      </c>
      <c r="Q70">
        <v>88</v>
      </c>
      <c r="R70" t="str">
        <v>N/A</v>
      </c>
      <c r="S70">
        <v>91</v>
      </c>
      <c r="T70">
        <f>IF(OR(M70="N/A",P70="N/A"),"N/A",ROUND(P70/M70*100,1))</f>
      </c>
      <c r="U70">
        <f>IF(OR(N70="N/A",Q70="N/A"),"N/A",ROUND(IF(Q70/N70&gt;=1,Q70/N70,MIN(1,(Q70/N70)+(IF(OR(R70="N/A",R70=""),0,R70/N70))))*100,1))</f>
      </c>
      <c r="V70">
        <f>IF(OR(O70="N/A",S70="N/A"),"N/A",ROUND(S70/O70*100,1))</f>
      </c>
      <c r="W70">
        <f>IF(COUNT(T70:V70)&gt;0,ROUND(AVERAGE(T70:V70),1),"N/A")</f>
      </c>
      <c r="X70" t="str">
        <v>Kỳ 2 (Kỳ hiện tại)</v>
      </c>
    </row>
    <row r="71">
      <c r="A71">
        <v>70</v>
      </c>
      <c r="B71" t="str">
        <v>DM</v>
      </c>
      <c r="C71" t="str">
        <v>Digital Marketing (DM)</v>
      </c>
      <c r="D71" t="str">
        <v>Cử nhân cấp bằng (Full 4 năm)</v>
      </c>
      <c r="E71" t="str">
        <v>DM</v>
      </c>
      <c r="F71" t="str">
        <v>Năm 3</v>
      </c>
      <c r="G71" t="str">
        <v>SEM 1</v>
      </c>
      <c r="H71" t="str">
        <v>MARK520</v>
      </c>
      <c r="I71" t="str">
        <v>Content Marketing</v>
      </c>
      <c r="J71" t="str">
        <v>Bùi Thu Trang</v>
      </c>
      <c r="K71">
        <v>2</v>
      </c>
      <c r="L71">
        <v>45</v>
      </c>
      <c r="M71">
        <v>90</v>
      </c>
      <c r="N71">
        <v>90</v>
      </c>
      <c r="O71">
        <v>90</v>
      </c>
      <c r="P71">
        <v>92</v>
      </c>
      <c r="Q71">
        <v>88</v>
      </c>
      <c r="R71" t="str">
        <v>N/A</v>
      </c>
      <c r="S71">
        <v>91</v>
      </c>
      <c r="T71">
        <f>IF(OR(M71="N/A",P71="N/A"),"N/A",ROUND(P71/M71*100,1))</f>
      </c>
      <c r="U71">
        <f>IF(OR(N71="N/A",Q71="N/A"),"N/A",ROUND(IF(Q71/N71&gt;=1,Q71/N71,MIN(1,(Q71/N71)+(IF(OR(R71="N/A",R71=""),0,R71/N71))))*100,1))</f>
      </c>
      <c r="V71">
        <f>IF(OR(O71="N/A",S71="N/A"),"N/A",ROUND(S71/O71*100,1))</f>
      </c>
      <c r="W71">
        <f>IF(COUNT(T71:V71)&gt;0,ROUND(AVERAGE(T71:V71),1),"N/A")</f>
      </c>
      <c r="X71" t="str">
        <v>Kỳ học theo khóa</v>
      </c>
    </row>
    <row r="72">
      <c r="A72">
        <v>71</v>
      </c>
      <c r="B72" t="str">
        <v>DM</v>
      </c>
      <c r="C72" t="str">
        <v>Digital Marketing (DM)</v>
      </c>
      <c r="D72" t="str">
        <v>Cử nhân cấp bằng (Full 4 năm)</v>
      </c>
      <c r="E72" t="str">
        <v>DM</v>
      </c>
      <c r="F72" t="str">
        <v>Năm 3</v>
      </c>
      <c r="G72" t="str">
        <v>SEM 1</v>
      </c>
      <c r="H72" t="str">
        <v>MARK522</v>
      </c>
      <c r="I72" t="str">
        <v>Digital Marketing Campaigns</v>
      </c>
      <c r="J72" t="str">
        <v>Bùi Thu Trang</v>
      </c>
      <c r="K72">
        <v>2</v>
      </c>
      <c r="L72">
        <v>45</v>
      </c>
      <c r="M72">
        <v>90</v>
      </c>
      <c r="N72">
        <v>90</v>
      </c>
      <c r="O72">
        <v>90</v>
      </c>
      <c r="P72">
        <v>92</v>
      </c>
      <c r="Q72">
        <v>88</v>
      </c>
      <c r="R72" t="str">
        <v>N/A</v>
      </c>
      <c r="S72">
        <v>91</v>
      </c>
      <c r="T72">
        <f>IF(OR(M72="N/A",P72="N/A"),"N/A",ROUND(P72/M72*100,1))</f>
      </c>
      <c r="U72">
        <f>IF(OR(N72="N/A",Q72="N/A"),"N/A",ROUND(IF(Q72/N72&gt;=1,Q72/N72,MIN(1,(Q72/N72)+(IF(OR(R72="N/A",R72=""),0,R72/N72))))*100,1))</f>
      </c>
      <c r="V72">
        <f>IF(OR(O72="N/A",S72="N/A"),"N/A",ROUND(S72/O72*100,1))</f>
      </c>
      <c r="W72">
        <f>IF(COUNT(T72:V72)&gt;0,ROUND(AVERAGE(T72:V72),1),"N/A")</f>
      </c>
      <c r="X72" t="str">
        <v>Kỳ học theo khóa</v>
      </c>
    </row>
    <row r="73">
      <c r="A73">
        <v>72</v>
      </c>
      <c r="B73" t="str">
        <v>DM</v>
      </c>
      <c r="C73" t="str">
        <v>Digital Marketing (DM)</v>
      </c>
      <c r="D73" t="str">
        <v>Cử nhân cấp bằng (Full 4 năm)</v>
      </c>
      <c r="E73" t="str">
        <v>DM</v>
      </c>
      <c r="F73" t="str">
        <v>Năm 3</v>
      </c>
      <c r="G73" t="str">
        <v>SEM 1</v>
      </c>
      <c r="H73" t="str">
        <v>MARK525</v>
      </c>
      <c r="I73" t="str">
        <v>Web and Social Media Analytics</v>
      </c>
      <c r="J73" t="str">
        <v>Bùi Thu Trang</v>
      </c>
      <c r="K73">
        <v>2</v>
      </c>
      <c r="L73">
        <v>45</v>
      </c>
      <c r="M73">
        <v>90</v>
      </c>
      <c r="N73">
        <v>90</v>
      </c>
      <c r="O73">
        <v>90</v>
      </c>
      <c r="P73">
        <v>92</v>
      </c>
      <c r="Q73">
        <v>88</v>
      </c>
      <c r="R73" t="str">
        <v>N/A</v>
      </c>
      <c r="S73">
        <v>91</v>
      </c>
      <c r="T73">
        <f>IF(OR(M73="N/A",P73="N/A"),"N/A",ROUND(P73/M73*100,1))</f>
      </c>
      <c r="U73">
        <f>IF(OR(N73="N/A",Q73="N/A"),"N/A",ROUND(IF(Q73/N73&gt;=1,Q73/N73,MIN(1,(Q73/N73)+(IF(OR(R73="N/A",R73=""),0,R73/N73))))*100,1))</f>
      </c>
      <c r="V73">
        <f>IF(OR(O73="N/A",S73="N/A"),"N/A",ROUND(S73/O73*100,1))</f>
      </c>
      <c r="W73">
        <f>IF(COUNT(T73:V73)&gt;0,ROUND(AVERAGE(T73:V73),1),"N/A")</f>
      </c>
      <c r="X73" t="str">
        <v>Kỳ học theo khóa</v>
      </c>
    </row>
    <row r="74">
      <c r="A74">
        <v>73</v>
      </c>
      <c r="B74" t="str">
        <v>DM</v>
      </c>
      <c r="C74" t="str">
        <v>Digital Marketing (DM)</v>
      </c>
      <c r="D74" t="str">
        <v>Cử nhân cấp bằng (Full 4 năm)</v>
      </c>
      <c r="E74" t="str">
        <v>DM</v>
      </c>
      <c r="F74" t="str">
        <v>Năm 3</v>
      </c>
      <c r="G74" t="str">
        <v>SEM 2</v>
      </c>
      <c r="H74" t="str">
        <v>MARK643</v>
      </c>
      <c r="I74" t="str">
        <v>Digital Marketing Dissertation</v>
      </c>
      <c r="J74" t="str">
        <v>Bùi Thu Trang</v>
      </c>
      <c r="K74">
        <v>2</v>
      </c>
      <c r="L74">
        <v>45</v>
      </c>
      <c r="M74">
        <v>90</v>
      </c>
      <c r="N74">
        <v>90</v>
      </c>
      <c r="O74">
        <v>90</v>
      </c>
      <c r="P74">
        <v>92</v>
      </c>
      <c r="Q74">
        <v>88</v>
      </c>
      <c r="R74" t="str">
        <v>N/A</v>
      </c>
      <c r="S74">
        <v>91</v>
      </c>
      <c r="T74">
        <f>IF(OR(M74="N/A",P74="N/A"),"N/A",ROUND(P74/M74*100,1))</f>
      </c>
      <c r="U74">
        <f>IF(OR(N74="N/A",Q74="N/A"),"N/A",ROUND(IF(Q74/N74&gt;=1,Q74/N74,MIN(1,(Q74/N74)+(IF(OR(R74="N/A",R74=""),0,R74/N74))))*100,1))</f>
      </c>
      <c r="V74">
        <f>IF(OR(O74="N/A",S74="N/A"),"N/A",ROUND(S74/O74*100,1))</f>
      </c>
      <c r="W74">
        <f>IF(COUNT(T74:V74)&gt;0,ROUND(AVERAGE(T74:V74),1),"N/A")</f>
      </c>
      <c r="X74" t="str">
        <v>Kỳ 2 (Kỳ hiện tại)</v>
      </c>
    </row>
    <row r="75">
      <c r="A75">
        <v>74</v>
      </c>
      <c r="B75" t="str">
        <v>DM</v>
      </c>
      <c r="C75" t="str">
        <v>Digital Marketing (DM)</v>
      </c>
      <c r="D75" t="str">
        <v>Cử nhân cấp bằng (Full 4 năm)</v>
      </c>
      <c r="E75" t="str">
        <v>DM</v>
      </c>
      <c r="F75" t="str">
        <v>Năm 3</v>
      </c>
      <c r="G75" t="str">
        <v>SEM 2</v>
      </c>
      <c r="H75" t="str">
        <v>MARK646</v>
      </c>
      <c r="I75" t="str">
        <v>Digital Optimisation</v>
      </c>
      <c r="J75" t="str">
        <v>Bùi Thu Trang</v>
      </c>
      <c r="K75">
        <v>2</v>
      </c>
      <c r="L75">
        <v>45</v>
      </c>
      <c r="M75">
        <v>90</v>
      </c>
      <c r="N75">
        <v>90</v>
      </c>
      <c r="O75">
        <v>90</v>
      </c>
      <c r="P75">
        <v>92</v>
      </c>
      <c r="Q75">
        <v>88</v>
      </c>
      <c r="R75" t="str">
        <v>N/A</v>
      </c>
      <c r="S75">
        <v>91</v>
      </c>
      <c r="T75">
        <f>IF(OR(M75="N/A",P75="N/A"),"N/A",ROUND(P75/M75*100,1))</f>
      </c>
      <c r="U75">
        <f>IF(OR(N75="N/A",Q75="N/A"),"N/A",ROUND(IF(Q75/N75&gt;=1,Q75/N75,MIN(1,(Q75/N75)+(IF(OR(R75="N/A",R75=""),0,R75/N75))))*100,1))</f>
      </c>
      <c r="V75">
        <f>IF(OR(O75="N/A",S75="N/A"),"N/A",ROUND(S75/O75*100,1))</f>
      </c>
      <c r="W75">
        <f>IF(COUNT(T75:V75)&gt;0,ROUND(AVERAGE(T75:V75),1),"N/A")</f>
      </c>
      <c r="X75" t="str">
        <v>Kỳ 2 (Kỳ hiện tại)</v>
      </c>
    </row>
    <row r="76">
      <c r="A76">
        <v>75</v>
      </c>
      <c r="B76" t="str">
        <v>DM</v>
      </c>
      <c r="C76" t="str">
        <v>Digital Marketing (DM)</v>
      </c>
      <c r="D76" t="str">
        <v>Cử nhân cấp bằng (Full 4 năm)</v>
      </c>
      <c r="E76" t="str">
        <v>DM</v>
      </c>
      <c r="F76" t="str">
        <v>Năm 3</v>
      </c>
      <c r="G76" t="str">
        <v>SEM 2</v>
      </c>
      <c r="H76" t="str">
        <v>MARK647</v>
      </c>
      <c r="I76" t="str">
        <v>Marketing and Digital Strategy</v>
      </c>
      <c r="J76" t="str">
        <v>Bùi Thu Trang</v>
      </c>
      <c r="K76">
        <v>2</v>
      </c>
      <c r="L76">
        <v>45</v>
      </c>
      <c r="M76">
        <v>90</v>
      </c>
      <c r="N76">
        <v>90</v>
      </c>
      <c r="O76">
        <v>90</v>
      </c>
      <c r="P76">
        <v>92</v>
      </c>
      <c r="Q76">
        <v>88</v>
      </c>
      <c r="R76" t="str">
        <v>N/A</v>
      </c>
      <c r="S76">
        <v>91</v>
      </c>
      <c r="T76">
        <f>IF(OR(M76="N/A",P76="N/A"),"N/A",ROUND(P76/M76*100,1))</f>
      </c>
      <c r="U76">
        <f>IF(OR(N76="N/A",Q76="N/A"),"N/A",ROUND(IF(Q76/N76&gt;=1,Q76/N76,MIN(1,(Q76/N76)+(IF(OR(R76="N/A",R76=""),0,R76/N76))))*100,1))</f>
      </c>
      <c r="V76">
        <f>IF(OR(O76="N/A",S76="N/A"),"N/A",ROUND(S76/O76*100,1))</f>
      </c>
      <c r="W76">
        <f>IF(COUNT(T76:V76)&gt;0,ROUND(AVERAGE(T76:V76),1),"N/A")</f>
      </c>
      <c r="X76" t="str">
        <v>Kỳ 2 (Kỳ hiện tại)</v>
      </c>
    </row>
    <row r="77">
      <c r="A77">
        <v>76</v>
      </c>
      <c r="B77" t="str">
        <v>DM</v>
      </c>
      <c r="C77" t="str">
        <v>Digital Marketing (DM)</v>
      </c>
      <c r="D77" t="str">
        <v>Cử nhân cấp bằng (Full 4 năm)</v>
      </c>
      <c r="E77" t="str">
        <v>DM</v>
      </c>
      <c r="F77" t="str">
        <v>Năm 4</v>
      </c>
      <c r="G77" t="str">
        <v>SEM 1</v>
      </c>
      <c r="H77" t="str">
        <v>MARK643</v>
      </c>
      <c r="I77" t="str">
        <v>Digital Marketing Dissertation</v>
      </c>
      <c r="J77" t="str">
        <v>Bùi Thu Trang</v>
      </c>
      <c r="K77">
        <v>2</v>
      </c>
      <c r="L77">
        <v>45</v>
      </c>
      <c r="M77">
        <v>90</v>
      </c>
      <c r="N77">
        <v>90</v>
      </c>
      <c r="O77">
        <v>90</v>
      </c>
      <c r="P77">
        <v>92</v>
      </c>
      <c r="Q77">
        <v>88</v>
      </c>
      <c r="R77" t="str">
        <v>N/A</v>
      </c>
      <c r="S77">
        <v>91</v>
      </c>
      <c r="T77">
        <f>IF(OR(M77="N/A",P77="N/A"),"N/A",ROUND(P77/M77*100,1))</f>
      </c>
      <c r="U77">
        <f>IF(OR(N77="N/A",Q77="N/A"),"N/A",ROUND(IF(Q77/N77&gt;=1,Q77/N77,MIN(1,(Q77/N77)+(IF(OR(R77="N/A",R77=""),0,R77/N77))))*100,1))</f>
      </c>
      <c r="V77">
        <f>IF(OR(O77="N/A",S77="N/A"),"N/A",ROUND(S77/O77*100,1))</f>
      </c>
      <c r="W77">
        <f>IF(COUNT(T77:V77)&gt;0,ROUND(AVERAGE(T77:V77),1),"N/A")</f>
      </c>
      <c r="X77" t="str">
        <v>Kỳ học theo khóa</v>
      </c>
    </row>
    <row r="78">
      <c r="A78">
        <v>77</v>
      </c>
      <c r="B78" t="str">
        <v>DM</v>
      </c>
      <c r="C78" t="str">
        <v>Digital Marketing (DM)</v>
      </c>
      <c r="D78" t="str">
        <v>Cử nhân cấp bằng (Full 4 năm)</v>
      </c>
      <c r="E78" t="str">
        <v>DM</v>
      </c>
      <c r="F78" t="str">
        <v>Năm 4</v>
      </c>
      <c r="G78" t="str">
        <v>SEM 1</v>
      </c>
      <c r="H78" t="str">
        <v>MARK644</v>
      </c>
      <c r="I78" t="str">
        <v>Digital Marketing Futures</v>
      </c>
      <c r="J78" t="str">
        <v>Bùi Thu Trang</v>
      </c>
      <c r="K78">
        <v>2</v>
      </c>
      <c r="L78">
        <v>45</v>
      </c>
      <c r="M78">
        <v>90</v>
      </c>
      <c r="N78">
        <v>90</v>
      </c>
      <c r="O78">
        <v>90</v>
      </c>
      <c r="P78">
        <v>92</v>
      </c>
      <c r="Q78">
        <v>88</v>
      </c>
      <c r="R78" t="str">
        <v>N/A</v>
      </c>
      <c r="S78">
        <v>91</v>
      </c>
      <c r="T78">
        <f>IF(OR(M78="N/A",P78="N/A"),"N/A",ROUND(P78/M78*100,1))</f>
      </c>
      <c r="U78">
        <f>IF(OR(N78="N/A",Q78="N/A"),"N/A",ROUND(IF(Q78/N78&gt;=1,Q78/N78,MIN(1,(Q78/N78)+(IF(OR(R78="N/A",R78=""),0,R78/N78))))*100,1))</f>
      </c>
      <c r="V78">
        <f>IF(OR(O78="N/A",S78="N/A"),"N/A",ROUND(S78/O78*100,1))</f>
      </c>
      <c r="W78">
        <f>IF(COUNT(T78:V78)&gt;0,ROUND(AVERAGE(T78:V78),1),"N/A")</f>
      </c>
      <c r="X78" t="str">
        <v>Kỳ học theo khóa</v>
      </c>
    </row>
    <row r="79">
      <c r="A79">
        <v>78</v>
      </c>
      <c r="B79" t="str">
        <v>DM</v>
      </c>
      <c r="C79" t="str">
        <v>Digital Marketing (DM)</v>
      </c>
      <c r="D79" t="str">
        <v>Cử nhân cấp bằng (Full 4 năm)</v>
      </c>
      <c r="E79" t="str">
        <v>DM</v>
      </c>
      <c r="F79" t="str">
        <v>Năm 4</v>
      </c>
      <c r="G79" t="str">
        <v>SEM 1</v>
      </c>
      <c r="H79" t="str">
        <v>MARK648</v>
      </c>
      <c r="I79" t="str">
        <v>Mastering Digital Metrics</v>
      </c>
      <c r="J79" t="str">
        <v>Bùi Thu Trang</v>
      </c>
      <c r="K79">
        <v>2</v>
      </c>
      <c r="L79">
        <v>45</v>
      </c>
      <c r="M79">
        <v>90</v>
      </c>
      <c r="N79">
        <v>90</v>
      </c>
      <c r="O79">
        <v>90</v>
      </c>
      <c r="P79">
        <v>92</v>
      </c>
      <c r="Q79">
        <v>88</v>
      </c>
      <c r="R79" t="str">
        <v>N/A</v>
      </c>
      <c r="S79">
        <v>91</v>
      </c>
      <c r="T79">
        <f>IF(OR(M79="N/A",P79="N/A"),"N/A",ROUND(P79/M79*100,1))</f>
      </c>
      <c r="U79">
        <f>IF(OR(N79="N/A",Q79="N/A"),"N/A",ROUND(IF(Q79/N79&gt;=1,Q79/N79,MIN(1,(Q79/N79)+(IF(OR(R79="N/A",R79=""),0,R79/N79))))*100,1))</f>
      </c>
      <c r="V79">
        <f>IF(OR(O79="N/A",S79="N/A"),"N/A",ROUND(S79/O79*100,1))</f>
      </c>
      <c r="W79">
        <f>IF(COUNT(T79:V79)&gt;0,ROUND(AVERAGE(T79:V79),1),"N/A")</f>
      </c>
      <c r="X79" t="str">
        <v>Kỳ học theo khóa</v>
      </c>
    </row>
    <row r="80">
      <c r="A80">
        <v>79</v>
      </c>
      <c r="B80" t="str">
        <v>AU</v>
      </c>
      <c r="C80" t="str">
        <v>Andrews University (AU)</v>
      </c>
      <c r="D80" t="str">
        <v>Cử nhân cấp bằng (Full 4 năm)</v>
      </c>
      <c r="E80" t="str">
        <v>AU</v>
      </c>
      <c r="F80" t="str">
        <v>Năm 1</v>
      </c>
      <c r="G80" t="str">
        <v>SEM 1</v>
      </c>
      <c r="H80" t="str">
        <v>BBAE1109</v>
      </c>
      <c r="I80" t="str">
        <v>Biology with lab</v>
      </c>
      <c r="J80" t="str">
        <v>Đào Ngọc Diệp</v>
      </c>
      <c r="K80">
        <v>2</v>
      </c>
      <c r="L80">
        <v>45</v>
      </c>
      <c r="M80">
        <v>90</v>
      </c>
      <c r="N80">
        <v>90</v>
      </c>
      <c r="O80">
        <v>90</v>
      </c>
      <c r="P80">
        <v>92</v>
      </c>
      <c r="Q80">
        <v>88</v>
      </c>
      <c r="R80" t="str">
        <v>N/A</v>
      </c>
      <c r="S80">
        <v>91</v>
      </c>
      <c r="T80">
        <f>IF(OR(M80="N/A",P80="N/A"),"N/A",ROUND(P80/M80*100,1))</f>
      </c>
      <c r="U80">
        <f>IF(OR(N80="N/A",Q80="N/A"),"N/A",ROUND(IF(Q80/N80&gt;=1,Q80/N80,MIN(1,(Q80/N80)+(IF(OR(R80="N/A",R80=""),0,R80/N80))))*100,1))</f>
      </c>
      <c r="V80">
        <f>IF(OR(O80="N/A",S80="N/A"),"N/A",ROUND(S80/O80*100,1))</f>
      </c>
      <c r="W80">
        <f>IF(COUNT(T80:V80)&gt;0,ROUND(AVERAGE(T80:V80),1),"N/A")</f>
      </c>
      <c r="X80" t="str">
        <v>Kỳ học theo khóa</v>
      </c>
    </row>
    <row r="81">
      <c r="A81">
        <v>80</v>
      </c>
      <c r="B81" t="str">
        <v>AU</v>
      </c>
      <c r="C81" t="str">
        <v>Andrews University (AU)</v>
      </c>
      <c r="D81" t="str">
        <v>Cử nhân cấp bằng (Full 4 năm)</v>
      </c>
      <c r="E81" t="str">
        <v>AU</v>
      </c>
      <c r="F81" t="str">
        <v>Năm 1</v>
      </c>
      <c r="G81" t="str">
        <v>SEM 1</v>
      </c>
      <c r="H81" t="str">
        <v>BBAE1114</v>
      </c>
      <c r="I81" t="str">
        <v>Introduction to Dancesport</v>
      </c>
      <c r="J81" t="str">
        <v>Đào Ngọc Diệp</v>
      </c>
      <c r="K81">
        <v>2</v>
      </c>
      <c r="L81">
        <v>45</v>
      </c>
      <c r="M81">
        <v>90</v>
      </c>
      <c r="N81">
        <v>90</v>
      </c>
      <c r="O81">
        <v>90</v>
      </c>
      <c r="P81">
        <v>92</v>
      </c>
      <c r="Q81">
        <v>88</v>
      </c>
      <c r="R81" t="str">
        <v>N/A</v>
      </c>
      <c r="S81">
        <v>91</v>
      </c>
      <c r="T81">
        <f>IF(OR(M81="N/A",P81="N/A"),"N/A",ROUND(P81/M81*100,1))</f>
      </c>
      <c r="U81">
        <f>IF(OR(N81="N/A",Q81="N/A"),"N/A",ROUND(IF(Q81/N81&gt;=1,Q81/N81,MIN(1,(Q81/N81)+(IF(OR(R81="N/A",R81=""),0,R81/N81))))*100,1))</f>
      </c>
      <c r="V81">
        <f>IF(OR(O81="N/A",S81="N/A"),"N/A",ROUND(S81/O81*100,1))</f>
      </c>
      <c r="W81">
        <f>IF(COUNT(T81:V81)&gt;0,ROUND(AVERAGE(T81:V81),1),"N/A")</f>
      </c>
      <c r="X81" t="str">
        <v>Kỳ học theo khóa</v>
      </c>
    </row>
    <row r="82">
      <c r="A82">
        <v>81</v>
      </c>
      <c r="B82" t="str">
        <v>AU</v>
      </c>
      <c r="C82" t="str">
        <v>Andrews University (AU)</v>
      </c>
      <c r="D82" t="str">
        <v>Cử nhân cấp bằng (Full 4 năm)</v>
      </c>
      <c r="E82" t="str">
        <v>AU</v>
      </c>
      <c r="F82" t="str">
        <v>Năm 1</v>
      </c>
      <c r="G82" t="str">
        <v>SEM 1</v>
      </c>
      <c r="H82" t="str">
        <v>BBAE1125</v>
      </c>
      <c r="I82" t="str">
        <v>Business Communication</v>
      </c>
      <c r="J82" t="str">
        <v>Đào Ngọc Diệp</v>
      </c>
      <c r="K82">
        <v>2</v>
      </c>
      <c r="L82">
        <v>45</v>
      </c>
      <c r="M82">
        <v>90</v>
      </c>
      <c r="N82">
        <v>90</v>
      </c>
      <c r="O82">
        <v>90</v>
      </c>
      <c r="P82">
        <v>92</v>
      </c>
      <c r="Q82">
        <v>88</v>
      </c>
      <c r="R82" t="str">
        <v>N/A</v>
      </c>
      <c r="S82">
        <v>91</v>
      </c>
      <c r="T82">
        <f>IF(OR(M82="N/A",P82="N/A"),"N/A",ROUND(P82/M82*100,1))</f>
      </c>
      <c r="U82">
        <f>IF(OR(N82="N/A",Q82="N/A"),"N/A",ROUND(IF(Q82/N82&gt;=1,Q82/N82,MIN(1,(Q82/N82)+(IF(OR(R82="N/A",R82=""),0,R82/N82))))*100,1))</f>
      </c>
      <c r="V82">
        <f>IF(OR(O82="N/A",S82="N/A"),"N/A",ROUND(S82/O82*100,1))</f>
      </c>
      <c r="W82">
        <f>IF(COUNT(T82:V82)&gt;0,ROUND(AVERAGE(T82:V82),1),"N/A")</f>
      </c>
      <c r="X82" t="str">
        <v>Kỳ học theo khóa</v>
      </c>
    </row>
    <row r="83">
      <c r="A83">
        <v>82</v>
      </c>
      <c r="B83" t="str">
        <v>AU</v>
      </c>
      <c r="C83" t="str">
        <v>Andrews University (AU)</v>
      </c>
      <c r="D83" t="str">
        <v>Cử nhân cấp bằng (Full 4 năm)</v>
      </c>
      <c r="E83" t="str">
        <v>AU</v>
      </c>
      <c r="F83" t="str">
        <v>Năm 1</v>
      </c>
      <c r="G83" t="str">
        <v>SEM 1</v>
      </c>
      <c r="H83" t="str">
        <v>ENGL-115</v>
      </c>
      <c r="I83" t="str">
        <v>College Writing I</v>
      </c>
      <c r="J83" t="str">
        <v>Đào Ngọc Diệp</v>
      </c>
      <c r="K83">
        <v>2</v>
      </c>
      <c r="L83">
        <v>45</v>
      </c>
      <c r="M83">
        <v>90</v>
      </c>
      <c r="N83">
        <v>90</v>
      </c>
      <c r="O83">
        <v>90</v>
      </c>
      <c r="P83">
        <v>92</v>
      </c>
      <c r="Q83">
        <v>88</v>
      </c>
      <c r="R83" t="str">
        <v>N/A</v>
      </c>
      <c r="S83">
        <v>91</v>
      </c>
      <c r="T83">
        <f>IF(OR(M83="N/A",P83="N/A"),"N/A",ROUND(P83/M83*100,1))</f>
      </c>
      <c r="U83">
        <f>IF(OR(N83="N/A",Q83="N/A"),"N/A",ROUND(IF(Q83/N83&gt;=1,Q83/N83,MIN(1,(Q83/N83)+(IF(OR(R83="N/A",R83=""),0,R83/N83))))*100,1))</f>
      </c>
      <c r="V83">
        <f>IF(OR(O83="N/A",S83="N/A"),"N/A",ROUND(S83/O83*100,1))</f>
      </c>
      <c r="W83">
        <f>IF(COUNT(T83:V83)&gt;0,ROUND(AVERAGE(T83:V83),1),"N/A")</f>
      </c>
      <c r="X83" t="str">
        <v>Kỳ học theo khóa</v>
      </c>
    </row>
    <row r="84">
      <c r="A84">
        <v>83</v>
      </c>
      <c r="B84" t="str">
        <v>AU</v>
      </c>
      <c r="C84" t="str">
        <v>Andrews University (AU)</v>
      </c>
      <c r="D84" t="str">
        <v>Cử nhân cấp bằng (Full 4 năm)</v>
      </c>
      <c r="E84" t="str">
        <v>AU</v>
      </c>
      <c r="F84" t="str">
        <v>Năm 1</v>
      </c>
      <c r="G84" t="str">
        <v>SEM 1</v>
      </c>
      <c r="H84" t="str">
        <v>INFS120</v>
      </c>
      <c r="I84" t="str">
        <v>Foundations of Info Tech</v>
      </c>
      <c r="J84" t="str">
        <v>Đào Ngọc Diệp</v>
      </c>
      <c r="K84">
        <v>2</v>
      </c>
      <c r="L84">
        <v>45</v>
      </c>
      <c r="M84">
        <v>90</v>
      </c>
      <c r="N84">
        <v>90</v>
      </c>
      <c r="O84">
        <v>90</v>
      </c>
      <c r="P84">
        <v>92</v>
      </c>
      <c r="Q84">
        <v>88</v>
      </c>
      <c r="R84" t="str">
        <v>N/A</v>
      </c>
      <c r="S84">
        <v>91</v>
      </c>
      <c r="T84">
        <f>IF(OR(M84="N/A",P84="N/A"),"N/A",ROUND(P84/M84*100,1))</f>
      </c>
      <c r="U84">
        <f>IF(OR(N84="N/A",Q84="N/A"),"N/A",ROUND(IF(Q84/N84&gt;=1,Q84/N84,MIN(1,(Q84/N84)+(IF(OR(R84="N/A",R84=""),0,R84/N84))))*100,1))</f>
      </c>
      <c r="V84">
        <f>IF(OR(O84="N/A",S84="N/A"),"N/A",ROUND(S84/O84*100,1))</f>
      </c>
      <c r="W84">
        <f>IF(COUNT(T84:V84)&gt;0,ROUND(AVERAGE(T84:V84),1),"N/A")</f>
      </c>
      <c r="X84" t="str">
        <v>Kỳ học theo khóa</v>
      </c>
    </row>
    <row r="85">
      <c r="A85">
        <v>84</v>
      </c>
      <c r="B85" t="str">
        <v>AU</v>
      </c>
      <c r="C85" t="str">
        <v>Andrews University (AU)</v>
      </c>
      <c r="D85" t="str">
        <v>Cử nhân cấp bằng (Full 4 năm)</v>
      </c>
      <c r="E85" t="str">
        <v>AU</v>
      </c>
      <c r="F85" t="str">
        <v>Năm 1</v>
      </c>
      <c r="G85" t="str">
        <v>SEM 2</v>
      </c>
      <c r="H85" t="str">
        <v>BBAE1107</v>
      </c>
      <c r="I85" t="str">
        <v>Introduction to Environmental Studies</v>
      </c>
      <c r="J85" t="str">
        <v>Đào Ngọc Diệp</v>
      </c>
      <c r="K85">
        <v>2</v>
      </c>
      <c r="L85">
        <v>45</v>
      </c>
      <c r="M85">
        <v>90</v>
      </c>
      <c r="N85">
        <v>90</v>
      </c>
      <c r="O85">
        <v>90</v>
      </c>
      <c r="P85">
        <v>92</v>
      </c>
      <c r="Q85">
        <v>88</v>
      </c>
      <c r="R85" t="str">
        <v>N/A</v>
      </c>
      <c r="S85">
        <v>91</v>
      </c>
      <c r="T85">
        <f>IF(OR(M85="N/A",P85="N/A"),"N/A",ROUND(P85/M85*100,1))</f>
      </c>
      <c r="U85">
        <f>IF(OR(N85="N/A",Q85="N/A"),"N/A",ROUND(IF(Q85/N85&gt;=1,Q85/N85,MIN(1,(Q85/N85)+(IF(OR(R85="N/A",R85=""),0,R85/N85))))*100,1))</f>
      </c>
      <c r="V85">
        <f>IF(OR(O85="N/A",S85="N/A"),"N/A",ROUND(S85/O85*100,1))</f>
      </c>
      <c r="W85">
        <f>IF(COUNT(T85:V85)&gt;0,ROUND(AVERAGE(T85:V85),1),"N/A")</f>
      </c>
      <c r="X85" t="str">
        <v>Kỳ 2 (Kỳ hiện tại)</v>
      </c>
    </row>
    <row r="86">
      <c r="A86">
        <v>85</v>
      </c>
      <c r="B86" t="str">
        <v>AU</v>
      </c>
      <c r="C86" t="str">
        <v>Andrews University (AU)</v>
      </c>
      <c r="D86" t="str">
        <v>Cử nhân cấp bằng (Full 4 năm)</v>
      </c>
      <c r="E86" t="str">
        <v>AU</v>
      </c>
      <c r="F86" t="str">
        <v>Năm 1</v>
      </c>
      <c r="G86" t="str">
        <v>SEM 2</v>
      </c>
      <c r="H86" t="str">
        <v>BBAE1108</v>
      </c>
      <c r="I86" t="str">
        <v>Introduction to Calculus</v>
      </c>
      <c r="J86" t="str">
        <v>Đào Ngọc Diệp</v>
      </c>
      <c r="K86">
        <v>2</v>
      </c>
      <c r="L86">
        <v>45</v>
      </c>
      <c r="M86">
        <v>90</v>
      </c>
      <c r="N86">
        <v>90</v>
      </c>
      <c r="O86">
        <v>90</v>
      </c>
      <c r="P86">
        <v>92</v>
      </c>
      <c r="Q86">
        <v>88</v>
      </c>
      <c r="R86" t="str">
        <v>N/A</v>
      </c>
      <c r="S86">
        <v>91</v>
      </c>
      <c r="T86">
        <f>IF(OR(M86="N/A",P86="N/A"),"N/A",ROUND(P86/M86*100,1))</f>
      </c>
      <c r="U86">
        <f>IF(OR(N86="N/A",Q86="N/A"),"N/A",ROUND(IF(Q86/N86&gt;=1,Q86/N86,MIN(1,(Q86/N86)+(IF(OR(R86="N/A",R86=""),0,R86/N86))))*100,1))</f>
      </c>
      <c r="V86">
        <f>IF(OR(O86="N/A",S86="N/A"),"N/A",ROUND(S86/O86*100,1))</f>
      </c>
      <c r="W86">
        <f>IF(COUNT(T86:V86)&gt;0,ROUND(AVERAGE(T86:V86),1),"N/A")</f>
      </c>
      <c r="X86" t="str">
        <v>Kỳ 2 (Kỳ hiện tại)</v>
      </c>
    </row>
    <row r="87">
      <c r="A87">
        <v>86</v>
      </c>
      <c r="B87" t="str">
        <v>AU</v>
      </c>
      <c r="C87" t="str">
        <v>Andrews University (AU)</v>
      </c>
      <c r="D87" t="str">
        <v>Cử nhân cấp bằng (Full 4 năm)</v>
      </c>
      <c r="E87" t="str">
        <v>AU</v>
      </c>
      <c r="F87" t="str">
        <v>Năm 1</v>
      </c>
      <c r="G87" t="str">
        <v>SEM 2</v>
      </c>
      <c r="H87" t="str">
        <v>BBAE1110</v>
      </c>
      <c r="I87" t="str">
        <v>Computer skills</v>
      </c>
      <c r="J87" t="str">
        <v>Đào Ngọc Diệp</v>
      </c>
      <c r="K87">
        <v>2</v>
      </c>
      <c r="L87">
        <v>45</v>
      </c>
      <c r="M87">
        <v>90</v>
      </c>
      <c r="N87">
        <v>90</v>
      </c>
      <c r="O87">
        <v>90</v>
      </c>
      <c r="P87">
        <v>92</v>
      </c>
      <c r="Q87">
        <v>88</v>
      </c>
      <c r="R87" t="str">
        <v>N/A</v>
      </c>
      <c r="S87">
        <v>91</v>
      </c>
      <c r="T87">
        <f>IF(OR(M87="N/A",P87="N/A"),"N/A",ROUND(P87/M87*100,1))</f>
      </c>
      <c r="U87">
        <f>IF(OR(N87="N/A",Q87="N/A"),"N/A",ROUND(IF(Q87/N87&gt;=1,Q87/N87,MIN(1,(Q87/N87)+(IF(OR(R87="N/A",R87=""),0,R87/N87))))*100,1))</f>
      </c>
      <c r="V87">
        <f>IF(OR(O87="N/A",S87="N/A"),"N/A",ROUND(S87/O87*100,1))</f>
      </c>
      <c r="W87">
        <f>IF(COUNT(T87:V87)&gt;0,ROUND(AVERAGE(T87:V87),1),"N/A")</f>
      </c>
      <c r="X87" t="str">
        <v>Kỳ 2 (Kỳ hiện tại)</v>
      </c>
    </row>
    <row r="88">
      <c r="A88">
        <v>87</v>
      </c>
      <c r="B88" t="str">
        <v>AU</v>
      </c>
      <c r="C88" t="str">
        <v>Andrews University (AU)</v>
      </c>
      <c r="D88" t="str">
        <v>Cử nhân cấp bằng (Full 4 năm)</v>
      </c>
      <c r="E88" t="str">
        <v>AU</v>
      </c>
      <c r="F88" t="str">
        <v>Năm 1</v>
      </c>
      <c r="G88" t="str">
        <v>SEM 2</v>
      </c>
      <c r="H88" t="str">
        <v>ENGL- 215</v>
      </c>
      <c r="I88" t="str">
        <v>College Writing II</v>
      </c>
      <c r="J88" t="str">
        <v>Đào Ngọc Diệp</v>
      </c>
      <c r="K88">
        <v>2</v>
      </c>
      <c r="L88">
        <v>45</v>
      </c>
      <c r="M88">
        <v>90</v>
      </c>
      <c r="N88">
        <v>90</v>
      </c>
      <c r="O88">
        <v>90</v>
      </c>
      <c r="P88">
        <v>92</v>
      </c>
      <c r="Q88">
        <v>88</v>
      </c>
      <c r="R88" t="str">
        <v>N/A</v>
      </c>
      <c r="S88">
        <v>91</v>
      </c>
      <c r="T88">
        <f>IF(OR(M88="N/A",P88="N/A"),"N/A",ROUND(P88/M88*100,1))</f>
      </c>
      <c r="U88">
        <f>IF(OR(N88="N/A",Q88="N/A"),"N/A",ROUND(IF(Q88/N88&gt;=1,Q88/N88,MIN(1,(Q88/N88)+(IF(OR(R88="N/A",R88=""),0,R88/N88))))*100,1))</f>
      </c>
      <c r="V88">
        <f>IF(OR(O88="N/A",S88="N/A"),"N/A",ROUND(S88/O88*100,1))</f>
      </c>
      <c r="W88">
        <f>IF(COUNT(T88:V88)&gt;0,ROUND(AVERAGE(T88:V88),1),"N/A")</f>
      </c>
      <c r="X88" t="str">
        <v>Kỳ 2 (Kỳ hiện tại)</v>
      </c>
    </row>
    <row r="89">
      <c r="A89">
        <v>88</v>
      </c>
      <c r="B89" t="str">
        <v>AU</v>
      </c>
      <c r="C89" t="str">
        <v>Andrews University (AU)</v>
      </c>
      <c r="D89" t="str">
        <v>Cử nhân cấp bằng (Full 4 năm)</v>
      </c>
      <c r="E89" t="str">
        <v>AU</v>
      </c>
      <c r="F89" t="str">
        <v>Năm 1</v>
      </c>
      <c r="G89" t="str">
        <v>SEM 2</v>
      </c>
      <c r="H89" t="str">
        <v>SOWK-101</v>
      </c>
      <c r="I89" t="str">
        <v>Orientation to Human Services</v>
      </c>
      <c r="J89" t="str">
        <v>Đào Ngọc Diệp</v>
      </c>
      <c r="K89">
        <v>2</v>
      </c>
      <c r="L89">
        <v>45</v>
      </c>
      <c r="M89">
        <v>90</v>
      </c>
      <c r="N89">
        <v>90</v>
      </c>
      <c r="O89">
        <v>90</v>
      </c>
      <c r="P89">
        <v>92</v>
      </c>
      <c r="Q89">
        <v>88</v>
      </c>
      <c r="R89" t="str">
        <v>N/A</v>
      </c>
      <c r="S89">
        <v>91</v>
      </c>
      <c r="T89">
        <f>IF(OR(M89="N/A",P89="N/A"),"N/A",ROUND(P89/M89*100,1))</f>
      </c>
      <c r="U89">
        <f>IF(OR(N89="N/A",Q89="N/A"),"N/A",ROUND(IF(Q89/N89&gt;=1,Q89/N89,MIN(1,(Q89/N89)+(IF(OR(R89="N/A",R89=""),0,R89/N89))))*100,1))</f>
      </c>
      <c r="V89">
        <f>IF(OR(O89="N/A",S89="N/A"),"N/A",ROUND(S89/O89*100,1))</f>
      </c>
      <c r="W89">
        <f>IF(COUNT(T89:V89)&gt;0,ROUND(AVERAGE(T89:V89),1),"N/A")</f>
      </c>
      <c r="X89" t="str">
        <v>Kỳ 2 (Kỳ hiện tại)</v>
      </c>
    </row>
    <row r="90">
      <c r="A90">
        <v>89</v>
      </c>
      <c r="B90" t="str">
        <v>AU</v>
      </c>
      <c r="C90" t="str">
        <v>Andrews University (AU)</v>
      </c>
      <c r="D90" t="str">
        <v>Cử nhân cấp bằng (Full 4 năm)</v>
      </c>
      <c r="E90" t="str">
        <v>AU</v>
      </c>
      <c r="F90" t="str">
        <v>Năm 1</v>
      </c>
      <c r="G90" t="str">
        <v>SEM 2</v>
      </c>
      <c r="H90" t="str">
        <v>WRIT-3132</v>
      </c>
      <c r="I90" t="str">
        <v>Written Communication in Business</v>
      </c>
      <c r="J90" t="str">
        <v>Đào Ngọc Diệp</v>
      </c>
      <c r="K90">
        <v>2</v>
      </c>
      <c r="L90">
        <v>45</v>
      </c>
      <c r="M90">
        <v>90</v>
      </c>
      <c r="N90">
        <v>90</v>
      </c>
      <c r="O90">
        <v>90</v>
      </c>
      <c r="P90">
        <v>92</v>
      </c>
      <c r="Q90">
        <v>88</v>
      </c>
      <c r="R90" t="str">
        <v>N/A</v>
      </c>
      <c r="S90">
        <v>91</v>
      </c>
      <c r="T90">
        <f>IF(OR(M90="N/A",P90="N/A"),"N/A",ROUND(P90/M90*100,1))</f>
      </c>
      <c r="U90">
        <f>IF(OR(N90="N/A",Q90="N/A"),"N/A",ROUND(IF(Q90/N90&gt;=1,Q90/N90,MIN(1,(Q90/N90)+(IF(OR(R90="N/A",R90=""),0,R90/N90))))*100,1))</f>
      </c>
      <c r="V90">
        <f>IF(OR(O90="N/A",S90="N/A"),"N/A",ROUND(S90/O90*100,1))</f>
      </c>
      <c r="W90">
        <f>IF(COUNT(T90:V90)&gt;0,ROUND(AVERAGE(T90:V90),1),"N/A")</f>
      </c>
      <c r="X90" t="str">
        <v>Kỳ 2 (Kỳ hiện tại)</v>
      </c>
    </row>
    <row r="91">
      <c r="A91">
        <v>90</v>
      </c>
      <c r="B91" t="str">
        <v>AU</v>
      </c>
      <c r="C91" t="str">
        <v>Andrews University (AU)</v>
      </c>
      <c r="D91" t="str">
        <v>Cử nhân cấp bằng (Full 4 năm)</v>
      </c>
      <c r="E91" t="str">
        <v>AU</v>
      </c>
      <c r="F91" t="str">
        <v>Năm 2</v>
      </c>
      <c r="G91" t="str">
        <v>SEM 1</v>
      </c>
      <c r="H91" t="str">
        <v>BBAE1116</v>
      </c>
      <c r="I91" t="str">
        <v>Microeconomics</v>
      </c>
      <c r="J91" t="str">
        <v>Đào Ngọc Diệp</v>
      </c>
      <c r="K91">
        <v>2</v>
      </c>
      <c r="L91">
        <v>45</v>
      </c>
      <c r="M91">
        <v>90</v>
      </c>
      <c r="N91">
        <v>90</v>
      </c>
      <c r="O91">
        <v>90</v>
      </c>
      <c r="P91">
        <v>92</v>
      </c>
      <c r="Q91">
        <v>88</v>
      </c>
      <c r="R91" t="str">
        <v>N/A</v>
      </c>
      <c r="S91">
        <v>91</v>
      </c>
      <c r="T91">
        <f>IF(OR(M91="N/A",P91="N/A"),"N/A",ROUND(P91/M91*100,1))</f>
      </c>
      <c r="U91">
        <f>IF(OR(N91="N/A",Q91="N/A"),"N/A",ROUND(IF(Q91/N91&gt;=1,Q91/N91,MIN(1,(Q91/N91)+(IF(OR(R91="N/A",R91=""),0,R91/N91))))*100,1))</f>
      </c>
      <c r="V91">
        <f>IF(OR(O91="N/A",S91="N/A"),"N/A",ROUND(S91/O91*100,1))</f>
      </c>
      <c r="W91">
        <f>IF(COUNT(T91:V91)&gt;0,ROUND(AVERAGE(T91:V91),1),"N/A")</f>
      </c>
      <c r="X91" t="str">
        <v>Kỳ học theo khóa</v>
      </c>
    </row>
    <row r="92">
      <c r="A92">
        <v>91</v>
      </c>
      <c r="B92" t="str">
        <v>AU</v>
      </c>
      <c r="C92" t="str">
        <v>Andrews University (AU)</v>
      </c>
      <c r="D92" t="str">
        <v>Cử nhân cấp bằng (Full 4 năm)</v>
      </c>
      <c r="E92" t="str">
        <v>AU</v>
      </c>
      <c r="F92" t="str">
        <v>Năm 2</v>
      </c>
      <c r="G92" t="str">
        <v>SEM 1</v>
      </c>
      <c r="H92" t="str">
        <v>BBAE1118</v>
      </c>
      <c r="I92" t="str">
        <v>Business Decision Making 1</v>
      </c>
      <c r="J92" t="str">
        <v>Đào Ngọc Diệp</v>
      </c>
      <c r="K92">
        <v>2</v>
      </c>
      <c r="L92">
        <v>45</v>
      </c>
      <c r="M92">
        <v>90</v>
      </c>
      <c r="N92">
        <v>90</v>
      </c>
      <c r="O92">
        <v>90</v>
      </c>
      <c r="P92">
        <v>92</v>
      </c>
      <c r="Q92">
        <v>88</v>
      </c>
      <c r="R92" t="str">
        <v>N/A</v>
      </c>
      <c r="S92">
        <v>91</v>
      </c>
      <c r="T92">
        <f>IF(OR(M92="N/A",P92="N/A"),"N/A",ROUND(P92/M92*100,1))</f>
      </c>
      <c r="U92">
        <f>IF(OR(N92="N/A",Q92="N/A"),"N/A",ROUND(IF(Q92/N92&gt;=1,Q92/N92,MIN(1,(Q92/N92)+(IF(OR(R92="N/A",R92=""),0,R92/N92))))*100,1))</f>
      </c>
      <c r="V92">
        <f>IF(OR(O92="N/A",S92="N/A"),"N/A",ROUND(S92/O92*100,1))</f>
      </c>
      <c r="W92">
        <f>IF(COUNT(T92:V92)&gt;0,ROUND(AVERAGE(T92:V92),1),"N/A")</f>
      </c>
      <c r="X92" t="str">
        <v>Kỳ học theo khóa</v>
      </c>
    </row>
    <row r="93">
      <c r="A93">
        <v>92</v>
      </c>
      <c r="B93" t="str">
        <v>AU</v>
      </c>
      <c r="C93" t="str">
        <v>Andrews University (AU)</v>
      </c>
      <c r="D93" t="str">
        <v>Cử nhân cấp bằng (Full 4 năm)</v>
      </c>
      <c r="E93" t="str">
        <v>AU</v>
      </c>
      <c r="F93" t="str">
        <v>Năm 2</v>
      </c>
      <c r="G93" t="str">
        <v>SEM 1</v>
      </c>
      <c r="H93" t="str">
        <v>BBAE1120</v>
      </c>
      <c r="I93" t="str">
        <v>Principles of Accounting</v>
      </c>
      <c r="J93" t="str">
        <v>Đào Ngọc Diệp</v>
      </c>
      <c r="K93">
        <v>2</v>
      </c>
      <c r="L93">
        <v>45</v>
      </c>
      <c r="M93">
        <v>90</v>
      </c>
      <c r="N93">
        <v>90</v>
      </c>
      <c r="O93">
        <v>90</v>
      </c>
      <c r="P93">
        <v>92</v>
      </c>
      <c r="Q93">
        <v>88</v>
      </c>
      <c r="R93" t="str">
        <v>N/A</v>
      </c>
      <c r="S93">
        <v>91</v>
      </c>
      <c r="T93">
        <f>IF(OR(M93="N/A",P93="N/A"),"N/A",ROUND(P93/M93*100,1))</f>
      </c>
      <c r="U93">
        <f>IF(OR(N93="N/A",Q93="N/A"),"N/A",ROUND(IF(Q93/N93&gt;=1,Q93/N93,MIN(1,(Q93/N93)+(IF(OR(R93="N/A",R93=""),0,R93/N93))))*100,1))</f>
      </c>
      <c r="V93">
        <f>IF(OR(O93="N/A",S93="N/A"),"N/A",ROUND(S93/O93*100,1))</f>
      </c>
      <c r="W93">
        <f>IF(COUNT(T93:V93)&gt;0,ROUND(AVERAGE(T93:V93),1),"N/A")</f>
      </c>
      <c r="X93" t="str">
        <v>Kỳ học theo khóa</v>
      </c>
    </row>
    <row r="94">
      <c r="A94">
        <v>93</v>
      </c>
      <c r="B94" t="str">
        <v>AU</v>
      </c>
      <c r="C94" t="str">
        <v>Andrews University (AU)</v>
      </c>
      <c r="D94" t="str">
        <v>Cử nhân cấp bằng (Full 4 năm)</v>
      </c>
      <c r="E94" t="str">
        <v>AU</v>
      </c>
      <c r="F94" t="str">
        <v>Năm 2</v>
      </c>
      <c r="G94" t="str">
        <v>SEM 1</v>
      </c>
      <c r="H94" t="str">
        <v>BBAE1133</v>
      </c>
      <c r="I94" t="str">
        <v>Operations Management</v>
      </c>
      <c r="J94" t="str">
        <v>Đào Ngọc Diệp</v>
      </c>
      <c r="K94">
        <v>2</v>
      </c>
      <c r="L94">
        <v>45</v>
      </c>
      <c r="M94">
        <v>90</v>
      </c>
      <c r="N94">
        <v>90</v>
      </c>
      <c r="O94">
        <v>90</v>
      </c>
      <c r="P94">
        <v>92</v>
      </c>
      <c r="Q94">
        <v>88</v>
      </c>
      <c r="R94" t="str">
        <v>N/A</v>
      </c>
      <c r="S94">
        <v>91</v>
      </c>
      <c r="T94">
        <f>IF(OR(M94="N/A",P94="N/A"),"N/A",ROUND(P94/M94*100,1))</f>
      </c>
      <c r="U94">
        <f>IF(OR(N94="N/A",Q94="N/A"),"N/A",ROUND(IF(Q94/N94&gt;=1,Q94/N94,MIN(1,(Q94/N94)+(IF(OR(R94="N/A",R94=""),0,R94/N94))))*100,1))</f>
      </c>
      <c r="V94">
        <f>IF(OR(O94="N/A",S94="N/A"),"N/A",ROUND(S94/O94*100,1))</f>
      </c>
      <c r="W94">
        <f>IF(COUNT(T94:V94)&gt;0,ROUND(AVERAGE(T94:V94),1),"N/A")</f>
      </c>
      <c r="X94" t="str">
        <v>Kỳ học theo khóa</v>
      </c>
    </row>
    <row r="95">
      <c r="A95">
        <v>94</v>
      </c>
      <c r="B95" t="str">
        <v>AU</v>
      </c>
      <c r="C95" t="str">
        <v>Andrews University (AU)</v>
      </c>
      <c r="D95" t="str">
        <v>Cử nhân cấp bằng (Full 4 năm)</v>
      </c>
      <c r="E95" t="str">
        <v>AU</v>
      </c>
      <c r="F95" t="str">
        <v>Năm 2</v>
      </c>
      <c r="G95" t="str">
        <v>SEM 1</v>
      </c>
      <c r="H95" t="str">
        <v>BBAE1138</v>
      </c>
      <c r="I95" t="str">
        <v>Psychology</v>
      </c>
      <c r="J95" t="str">
        <v>Đào Ngọc Diệp</v>
      </c>
      <c r="K95">
        <v>2</v>
      </c>
      <c r="L95">
        <v>45</v>
      </c>
      <c r="M95">
        <v>90</v>
      </c>
      <c r="N95">
        <v>90</v>
      </c>
      <c r="O95">
        <v>90</v>
      </c>
      <c r="P95">
        <v>92</v>
      </c>
      <c r="Q95">
        <v>88</v>
      </c>
      <c r="R95" t="str">
        <v>N/A</v>
      </c>
      <c r="S95">
        <v>91</v>
      </c>
      <c r="T95">
        <f>IF(OR(M95="N/A",P95="N/A"),"N/A",ROUND(P95/M95*100,1))</f>
      </c>
      <c r="U95">
        <f>IF(OR(N95="N/A",Q95="N/A"),"N/A",ROUND(IF(Q95/N95&gt;=1,Q95/N95,MIN(1,(Q95/N95)+(IF(OR(R95="N/A",R95=""),0,R95/N95))))*100,1))</f>
      </c>
      <c r="V95">
        <f>IF(OR(O95="N/A",S95="N/A"),"N/A",ROUND(S95/O95*100,1))</f>
      </c>
      <c r="W95">
        <f>IF(COUNT(T95:V95)&gt;0,ROUND(AVERAGE(T95:V95),1),"N/A")</f>
      </c>
      <c r="X95" t="str">
        <v>Kỳ học theo khóa</v>
      </c>
    </row>
    <row r="96">
      <c r="A96">
        <v>95</v>
      </c>
      <c r="B96" t="str">
        <v>AU</v>
      </c>
      <c r="C96" t="str">
        <v>Andrews University (AU)</v>
      </c>
      <c r="D96" t="str">
        <v>Cử nhân cấp bằng (Full 4 năm)</v>
      </c>
      <c r="E96" t="str">
        <v>AU</v>
      </c>
      <c r="F96" t="str">
        <v>Năm 2</v>
      </c>
      <c r="G96" t="str">
        <v>SEM 2</v>
      </c>
      <c r="H96" t="str">
        <v>BBAE1117</v>
      </c>
      <c r="I96" t="str">
        <v>Macroeconomics</v>
      </c>
      <c r="J96" t="str">
        <v>Đào Ngọc Diệp</v>
      </c>
      <c r="K96">
        <v>2</v>
      </c>
      <c r="L96">
        <v>45</v>
      </c>
      <c r="M96">
        <v>90</v>
      </c>
      <c r="N96">
        <v>90</v>
      </c>
      <c r="O96">
        <v>90</v>
      </c>
      <c r="P96">
        <v>92</v>
      </c>
      <c r="Q96">
        <v>88</v>
      </c>
      <c r="R96" t="str">
        <v>N/A</v>
      </c>
      <c r="S96">
        <v>91</v>
      </c>
      <c r="T96">
        <f>IF(OR(M96="N/A",P96="N/A"),"N/A",ROUND(P96/M96*100,1))</f>
      </c>
      <c r="U96">
        <f>IF(OR(N96="N/A",Q96="N/A"),"N/A",ROUND(IF(Q96/N96&gt;=1,Q96/N96,MIN(1,(Q96/N96)+(IF(OR(R96="N/A",R96=""),0,R96/N96))))*100,1))</f>
      </c>
      <c r="V96">
        <f>IF(OR(O96="N/A",S96="N/A"),"N/A",ROUND(S96/O96*100,1))</f>
      </c>
      <c r="W96">
        <f>IF(COUNT(T96:V96)&gt;0,ROUND(AVERAGE(T96:V96),1),"N/A")</f>
      </c>
      <c r="X96" t="str">
        <v>Kỳ 2 (Kỳ hiện tại)</v>
      </c>
    </row>
    <row r="97">
      <c r="A97">
        <v>96</v>
      </c>
      <c r="B97" t="str">
        <v>AU</v>
      </c>
      <c r="C97" t="str">
        <v>Andrews University (AU)</v>
      </c>
      <c r="D97" t="str">
        <v>Cử nhân cấp bằng (Full 4 năm)</v>
      </c>
      <c r="E97" t="str">
        <v>AU</v>
      </c>
      <c r="F97" t="str">
        <v>Năm 2</v>
      </c>
      <c r="G97" t="str">
        <v>SEM 2</v>
      </c>
      <c r="H97" t="str">
        <v>BBAE1123</v>
      </c>
      <c r="I97" t="str">
        <v>Principles of Marketing</v>
      </c>
      <c r="J97" t="str">
        <v>Đào Ngọc Diệp</v>
      </c>
      <c r="K97">
        <v>2</v>
      </c>
      <c r="L97">
        <v>45</v>
      </c>
      <c r="M97">
        <v>90</v>
      </c>
      <c r="N97">
        <v>90</v>
      </c>
      <c r="O97">
        <v>90</v>
      </c>
      <c r="P97">
        <v>92</v>
      </c>
      <c r="Q97">
        <v>88</v>
      </c>
      <c r="R97" t="str">
        <v>N/A</v>
      </c>
      <c r="S97">
        <v>91</v>
      </c>
      <c r="T97">
        <f>IF(OR(M97="N/A",P97="N/A"),"N/A",ROUND(P97/M97*100,1))</f>
      </c>
      <c r="U97">
        <f>IF(OR(N97="N/A",Q97="N/A"),"N/A",ROUND(IF(Q97/N97&gt;=1,Q97/N97,MIN(1,(Q97/N97)+(IF(OR(R97="N/A",R97=""),0,R97/N97))))*100,1))</f>
      </c>
      <c r="V97">
        <f>IF(OR(O97="N/A",S97="N/A"),"N/A",ROUND(S97/O97*100,1))</f>
      </c>
      <c r="W97">
        <f>IF(COUNT(T97:V97)&gt;0,ROUND(AVERAGE(T97:V97),1),"N/A")</f>
      </c>
      <c r="X97" t="str">
        <v>Kỳ 2 (Kỳ hiện tại)</v>
      </c>
    </row>
    <row r="98">
      <c r="A98">
        <v>97</v>
      </c>
      <c r="B98" t="str">
        <v>AU</v>
      </c>
      <c r="C98" t="str">
        <v>Andrews University (AU)</v>
      </c>
      <c r="D98" t="str">
        <v>Cử nhân cấp bằng (Full 4 năm)</v>
      </c>
      <c r="E98" t="str">
        <v>AU</v>
      </c>
      <c r="F98" t="str">
        <v>Năm 2</v>
      </c>
      <c r="G98" t="str">
        <v>SEM 2</v>
      </c>
      <c r="H98" t="str">
        <v>BBAE1130</v>
      </c>
      <c r="I98" t="str">
        <v>Business Law</v>
      </c>
      <c r="J98" t="str">
        <v>Đào Ngọc Diệp</v>
      </c>
      <c r="K98">
        <v>2</v>
      </c>
      <c r="L98">
        <v>45</v>
      </c>
      <c r="M98">
        <v>90</v>
      </c>
      <c r="N98">
        <v>90</v>
      </c>
      <c r="O98">
        <v>90</v>
      </c>
      <c r="P98">
        <v>92</v>
      </c>
      <c r="Q98">
        <v>88</v>
      </c>
      <c r="R98" t="str">
        <v>N/A</v>
      </c>
      <c r="S98">
        <v>91</v>
      </c>
      <c r="T98">
        <f>IF(OR(M98="N/A",P98="N/A"),"N/A",ROUND(P98/M98*100,1))</f>
      </c>
      <c r="U98">
        <f>IF(OR(N98="N/A",Q98="N/A"),"N/A",ROUND(IF(Q98/N98&gt;=1,Q98/N98,MIN(1,(Q98/N98)+(IF(OR(R98="N/A",R98=""),0,R98/N98))))*100,1))</f>
      </c>
      <c r="V98">
        <f>IF(OR(O98="N/A",S98="N/A"),"N/A",ROUND(S98/O98*100,1))</f>
      </c>
      <c r="W98">
        <f>IF(COUNT(T98:V98)&gt;0,ROUND(AVERAGE(T98:V98),1),"N/A")</f>
      </c>
      <c r="X98" t="str">
        <v>Kỳ 2 (Kỳ hiện tại)</v>
      </c>
    </row>
    <row r="99">
      <c r="A99">
        <v>98</v>
      </c>
      <c r="B99" t="str">
        <v>AU</v>
      </c>
      <c r="C99" t="str">
        <v>Andrews University (AU)</v>
      </c>
      <c r="D99" t="str">
        <v>Cử nhân cấp bằng (Full 4 năm)</v>
      </c>
      <c r="E99" t="str">
        <v>AU</v>
      </c>
      <c r="F99" t="str">
        <v>Năm 2</v>
      </c>
      <c r="G99" t="str">
        <v>SEM 2</v>
      </c>
      <c r="H99" t="str">
        <v>FTES-135</v>
      </c>
      <c r="I99" t="str">
        <v>Self Defense (1)</v>
      </c>
      <c r="J99" t="str">
        <v>Đào Ngọc Diệp</v>
      </c>
      <c r="K99">
        <v>2</v>
      </c>
      <c r="L99">
        <v>45</v>
      </c>
      <c r="M99">
        <v>90</v>
      </c>
      <c r="N99">
        <v>90</v>
      </c>
      <c r="O99">
        <v>90</v>
      </c>
      <c r="P99">
        <v>92</v>
      </c>
      <c r="Q99">
        <v>88</v>
      </c>
      <c r="R99" t="str">
        <v>N/A</v>
      </c>
      <c r="S99">
        <v>91</v>
      </c>
      <c r="T99">
        <f>IF(OR(M99="N/A",P99="N/A"),"N/A",ROUND(P99/M99*100,1))</f>
      </c>
      <c r="U99">
        <f>IF(OR(N99="N/A",Q99="N/A"),"N/A",ROUND(IF(Q99/N99&gt;=1,Q99/N99,MIN(1,(Q99/N99)+(IF(OR(R99="N/A",R99=""),0,R99/N99))))*100,1))</f>
      </c>
      <c r="V99">
        <f>IF(OR(O99="N/A",S99="N/A"),"N/A",ROUND(S99/O99*100,1))</f>
      </c>
      <c r="W99">
        <f>IF(COUNT(T99:V99)&gt;0,ROUND(AVERAGE(T99:V99),1),"N/A")</f>
      </c>
      <c r="X99" t="str">
        <v>Kỳ 2 (Kỳ hiện tại)</v>
      </c>
    </row>
    <row r="100">
      <c r="A100">
        <v>99</v>
      </c>
      <c r="B100" t="str">
        <v>AU</v>
      </c>
      <c r="C100" t="str">
        <v>Andrews University (AU)</v>
      </c>
      <c r="D100" t="str">
        <v>Cử nhân cấp bằng (Full 4 năm)</v>
      </c>
      <c r="E100" t="str">
        <v>AU</v>
      </c>
      <c r="F100" t="str">
        <v>Năm 2</v>
      </c>
      <c r="G100" t="str">
        <v>SEM 2</v>
      </c>
      <c r="H100" t="str">
        <v>INFS-215</v>
      </c>
      <c r="I100" t="str">
        <v>Information Systems: Theory &amp; Application</v>
      </c>
      <c r="J100" t="str">
        <v>Đào Ngọc Diệp</v>
      </c>
      <c r="K100">
        <v>2</v>
      </c>
      <c r="L100">
        <v>45</v>
      </c>
      <c r="M100">
        <v>90</v>
      </c>
      <c r="N100">
        <v>90</v>
      </c>
      <c r="O100">
        <v>90</v>
      </c>
      <c r="P100">
        <v>92</v>
      </c>
      <c r="Q100">
        <v>88</v>
      </c>
      <c r="R100" t="str">
        <v>N/A</v>
      </c>
      <c r="S100">
        <v>91</v>
      </c>
      <c r="T100">
        <f>IF(OR(M100="N/A",P100="N/A"),"N/A",ROUND(P100/M100*100,1))</f>
      </c>
      <c r="U100">
        <f>IF(OR(N100="N/A",Q100="N/A"),"N/A",ROUND(IF(Q100/N100&gt;=1,Q100/N100,MIN(1,(Q100/N100)+(IF(OR(R100="N/A",R100=""),0,R100/N100))))*100,1))</f>
      </c>
      <c r="V100">
        <f>IF(OR(O100="N/A",S100="N/A"),"N/A",ROUND(S100/O100*100,1))</f>
      </c>
      <c r="W100">
        <f>IF(COUNT(T100:V100)&gt;0,ROUND(AVERAGE(T100:V100),1),"N/A")</f>
      </c>
      <c r="X100" t="str">
        <v>Kỳ 2 (Kỳ hiện tại)</v>
      </c>
    </row>
    <row r="101">
      <c r="A101">
        <v>100</v>
      </c>
      <c r="B101" t="str">
        <v>AU</v>
      </c>
      <c r="C101" t="str">
        <v>Andrews University (AU)</v>
      </c>
      <c r="D101" t="str">
        <v>Cử nhân cấp bằng (Full 4 năm)</v>
      </c>
      <c r="E101" t="str">
        <v>AU</v>
      </c>
      <c r="F101" t="str">
        <v>Năm 2</v>
      </c>
      <c r="G101" t="str">
        <v>SEM 2</v>
      </c>
      <c r="H101" t="str">
        <v>MUHL-214</v>
      </c>
      <c r="I101" t="str">
        <v>Enjoyment of Music</v>
      </c>
      <c r="J101" t="str">
        <v>Đào Ngọc Diệp</v>
      </c>
      <c r="K101">
        <v>2</v>
      </c>
      <c r="L101">
        <v>45</v>
      </c>
      <c r="M101">
        <v>90</v>
      </c>
      <c r="N101">
        <v>90</v>
      </c>
      <c r="O101">
        <v>90</v>
      </c>
      <c r="P101">
        <v>92</v>
      </c>
      <c r="Q101">
        <v>88</v>
      </c>
      <c r="R101" t="str">
        <v>N/A</v>
      </c>
      <c r="S101">
        <v>91</v>
      </c>
      <c r="T101">
        <f>IF(OR(M101="N/A",P101="N/A"),"N/A",ROUND(P101/M101*100,1))</f>
      </c>
      <c r="U101">
        <f>IF(OR(N101="N/A",Q101="N/A"),"N/A",ROUND(IF(Q101/N101&gt;=1,Q101/N101,MIN(1,(Q101/N101)+(IF(OR(R101="N/A",R101=""),0,R101/N101))))*100,1))</f>
      </c>
      <c r="V101">
        <f>IF(OR(O101="N/A",S101="N/A"),"N/A",ROUND(S101/O101*100,1))</f>
      </c>
      <c r="W101">
        <f>IF(COUNT(T101:V101)&gt;0,ROUND(AVERAGE(T101:V101),1),"N/A")</f>
      </c>
      <c r="X101" t="str">
        <v>Kỳ 2 (Kỳ hiện tại)</v>
      </c>
    </row>
    <row r="102">
      <c r="A102">
        <v>101</v>
      </c>
      <c r="B102" t="str">
        <v>AU</v>
      </c>
      <c r="C102" t="str">
        <v>Andrews University (AU)</v>
      </c>
      <c r="D102" t="str">
        <v>Cử nhân cấp bằng (Full 4 năm)</v>
      </c>
      <c r="E102" t="str">
        <v>AU</v>
      </c>
      <c r="F102" t="str">
        <v>Năm 3</v>
      </c>
      <c r="G102" t="str">
        <v>SEM AU</v>
      </c>
      <c r="H102" t="str">
        <v>ACCT122</v>
      </c>
      <c r="I102" t="str">
        <v>Accounting II</v>
      </c>
      <c r="J102" t="str">
        <v>Đào Ngọc Diệp</v>
      </c>
      <c r="K102">
        <v>2</v>
      </c>
      <c r="L102">
        <v>45</v>
      </c>
      <c r="M102">
        <v>90</v>
      </c>
      <c r="N102">
        <v>90</v>
      </c>
      <c r="O102">
        <v>90</v>
      </c>
      <c r="P102">
        <v>92</v>
      </c>
      <c r="Q102">
        <v>88</v>
      </c>
      <c r="R102" t="str">
        <v>N/A</v>
      </c>
      <c r="S102">
        <v>91</v>
      </c>
      <c r="T102">
        <f>IF(OR(M102="N/A",P102="N/A"),"N/A",ROUND(P102/M102*100,1))</f>
      </c>
      <c r="U102">
        <f>IF(OR(N102="N/A",Q102="N/A"),"N/A",ROUND(IF(Q102/N102&gt;=1,Q102/N102,MIN(1,(Q102/N102)+(IF(OR(R102="N/A",R102=""),0,R102/N102))))*100,1))</f>
      </c>
      <c r="V102">
        <f>IF(OR(O102="N/A",S102="N/A"),"N/A",ROUND(S102/O102*100,1))</f>
      </c>
      <c r="W102">
        <f>IF(COUNT(T102:V102)&gt;0,ROUND(AVERAGE(T102:V102),1),"N/A")</f>
      </c>
      <c r="X102" t="str">
        <v>Kỳ học theo khóa</v>
      </c>
    </row>
    <row r="103">
      <c r="A103">
        <v>102</v>
      </c>
      <c r="B103" t="str">
        <v>AU</v>
      </c>
      <c r="C103" t="str">
        <v>Andrews University (AU)</v>
      </c>
      <c r="D103" t="str">
        <v>Cử nhân cấp bằng (Full 4 năm)</v>
      </c>
      <c r="E103" t="str">
        <v>AU</v>
      </c>
      <c r="F103" t="str">
        <v>Năm 3</v>
      </c>
      <c r="G103" t="str">
        <v>SEM AU</v>
      </c>
      <c r="H103" t="str">
        <v>BBAE1122</v>
      </c>
      <c r="I103" t="str">
        <v>Corporate Finance</v>
      </c>
      <c r="J103" t="str">
        <v>Đào Ngọc Diệp</v>
      </c>
      <c r="K103">
        <v>2</v>
      </c>
      <c r="L103">
        <v>45</v>
      </c>
      <c r="M103">
        <v>90</v>
      </c>
      <c r="N103">
        <v>90</v>
      </c>
      <c r="O103">
        <v>90</v>
      </c>
      <c r="P103">
        <v>92</v>
      </c>
      <c r="Q103">
        <v>88</v>
      </c>
      <c r="R103" t="str">
        <v>N/A</v>
      </c>
      <c r="S103">
        <v>91</v>
      </c>
      <c r="T103">
        <f>IF(OR(M103="N/A",P103="N/A"),"N/A",ROUND(P103/M103*100,1))</f>
      </c>
      <c r="U103">
        <f>IF(OR(N103="N/A",Q103="N/A"),"N/A",ROUND(IF(Q103/N103&gt;=1,Q103/N103,MIN(1,(Q103/N103)+(IF(OR(R103="N/A",R103=""),0,R103/N103))))*100,1))</f>
      </c>
      <c r="V103">
        <f>IF(OR(O103="N/A",S103="N/A"),"N/A",ROUND(S103/O103*100,1))</f>
      </c>
      <c r="W103">
        <f>IF(COUNT(T103:V103)&gt;0,ROUND(AVERAGE(T103:V103),1),"N/A")</f>
      </c>
      <c r="X103" t="str">
        <v>Kỳ học theo khóa</v>
      </c>
    </row>
    <row r="104">
      <c r="A104">
        <v>103</v>
      </c>
      <c r="B104" t="str">
        <v>AU</v>
      </c>
      <c r="C104" t="str">
        <v>Andrews University (AU)</v>
      </c>
      <c r="D104" t="str">
        <v>Cử nhân cấp bằng (Full 4 năm)</v>
      </c>
      <c r="E104" t="str">
        <v>AU</v>
      </c>
      <c r="F104" t="str">
        <v>Năm 3</v>
      </c>
      <c r="G104" t="str">
        <v>SEM AU</v>
      </c>
      <c r="H104" t="str">
        <v>ECON-427</v>
      </c>
      <c r="I104" t="str">
        <v>Economic Development</v>
      </c>
      <c r="J104" t="str">
        <v>Đào Ngọc Diệp</v>
      </c>
      <c r="K104">
        <v>2</v>
      </c>
      <c r="L104">
        <v>45</v>
      </c>
      <c r="M104">
        <v>90</v>
      </c>
      <c r="N104">
        <v>90</v>
      </c>
      <c r="O104">
        <v>90</v>
      </c>
      <c r="P104">
        <v>92</v>
      </c>
      <c r="Q104">
        <v>88</v>
      </c>
      <c r="R104" t="str">
        <v>N/A</v>
      </c>
      <c r="S104">
        <v>91</v>
      </c>
      <c r="T104">
        <f>IF(OR(M104="N/A",P104="N/A"),"N/A",ROUND(P104/M104*100,1))</f>
      </c>
      <c r="U104">
        <f>IF(OR(N104="N/A",Q104="N/A"),"N/A",ROUND(IF(Q104/N104&gt;=1,Q104/N104,MIN(1,(Q104/N104)+(IF(OR(R104="N/A",R104=""),0,R104/N104))))*100,1))</f>
      </c>
      <c r="V104">
        <f>IF(OR(O104="N/A",S104="N/A"),"N/A",ROUND(S104/O104*100,1))</f>
      </c>
      <c r="W104">
        <f>IF(COUNT(T104:V104)&gt;0,ROUND(AVERAGE(T104:V104),1),"N/A")</f>
      </c>
      <c r="X104" t="str">
        <v>Kỳ học theo khóa</v>
      </c>
    </row>
    <row r="105">
      <c r="A105">
        <v>104</v>
      </c>
      <c r="B105" t="str">
        <v>AU</v>
      </c>
      <c r="C105" t="str">
        <v>Andrews University (AU)</v>
      </c>
      <c r="D105" t="str">
        <v>Cử nhân cấp bằng (Full 4 năm)</v>
      </c>
      <c r="E105" t="str">
        <v>AU</v>
      </c>
      <c r="F105" t="str">
        <v>Năm 3</v>
      </c>
      <c r="G105" t="str">
        <v>SEM AU</v>
      </c>
      <c r="H105" t="str">
        <v>HIST-205</v>
      </c>
      <c r="I105" t="str">
        <v>American History II</v>
      </c>
      <c r="J105" t="str">
        <v>Đào Ngọc Diệp</v>
      </c>
      <c r="K105">
        <v>2</v>
      </c>
      <c r="L105">
        <v>45</v>
      </c>
      <c r="M105">
        <v>90</v>
      </c>
      <c r="N105">
        <v>90</v>
      </c>
      <c r="O105">
        <v>90</v>
      </c>
      <c r="P105">
        <v>92</v>
      </c>
      <c r="Q105">
        <v>88</v>
      </c>
      <c r="R105" t="str">
        <v>N/A</v>
      </c>
      <c r="S105">
        <v>91</v>
      </c>
      <c r="T105">
        <f>IF(OR(M105="N/A",P105="N/A"),"N/A",ROUND(P105/M105*100,1))</f>
      </c>
      <c r="U105">
        <f>IF(OR(N105="N/A",Q105="N/A"),"N/A",ROUND(IF(Q105/N105&gt;=1,Q105/N105,MIN(1,(Q105/N105)+(IF(OR(R105="N/A",R105=""),0,R105/N105))))*100,1))</f>
      </c>
      <c r="V105">
        <f>IF(OR(O105="N/A",S105="N/A"),"N/A",ROUND(S105/O105*100,1))</f>
      </c>
      <c r="W105">
        <f>IF(COUNT(T105:V105)&gt;0,ROUND(AVERAGE(T105:V105),1),"N/A")</f>
      </c>
      <c r="X105" t="str">
        <v>Kỳ học theo khóa</v>
      </c>
    </row>
    <row r="106">
      <c r="A106">
        <v>105</v>
      </c>
      <c r="B106" t="str">
        <v>AU</v>
      </c>
      <c r="C106" t="str">
        <v>Andrews University (AU)</v>
      </c>
      <c r="D106" t="str">
        <v>Cử nhân cấp bằng (Full 4 năm)</v>
      </c>
      <c r="E106" t="str">
        <v>AU</v>
      </c>
      <c r="F106" t="str">
        <v>Năm 3</v>
      </c>
      <c r="G106" t="str">
        <v>SEM AU</v>
      </c>
      <c r="H106" t="str">
        <v>PLSC104</v>
      </c>
      <c r="I106" t="str">
        <v>American Government I</v>
      </c>
      <c r="J106" t="str">
        <v>Đào Ngọc Diệp</v>
      </c>
      <c r="K106">
        <v>2</v>
      </c>
      <c r="L106">
        <v>45</v>
      </c>
      <c r="M106">
        <v>90</v>
      </c>
      <c r="N106">
        <v>90</v>
      </c>
      <c r="O106">
        <v>90</v>
      </c>
      <c r="P106">
        <v>92</v>
      </c>
      <c r="Q106">
        <v>88</v>
      </c>
      <c r="R106" t="str">
        <v>N/A</v>
      </c>
      <c r="S106">
        <v>91</v>
      </c>
      <c r="T106">
        <f>IF(OR(M106="N/A",P106="N/A"),"N/A",ROUND(P106/M106*100,1))</f>
      </c>
      <c r="U106">
        <f>IF(OR(N106="N/A",Q106="N/A"),"N/A",ROUND(IF(Q106/N106&gt;=1,Q106/N106,MIN(1,(Q106/N106)+(IF(OR(R106="N/A",R106=""),0,R106/N106))))*100,1))</f>
      </c>
      <c r="V106">
        <f>IF(OR(O106="N/A",S106="N/A"),"N/A",ROUND(S106/O106*100,1))</f>
      </c>
      <c r="W106">
        <f>IF(COUNT(T106:V106)&gt;0,ROUND(AVERAGE(T106:V106),1),"N/A")</f>
      </c>
      <c r="X106" t="str">
        <v>Kỳ học theo khóa</v>
      </c>
    </row>
    <row r="107">
      <c r="A107">
        <v>106</v>
      </c>
      <c r="B107" t="str">
        <v>AU</v>
      </c>
      <c r="C107" t="str">
        <v>Andrews University (AU)</v>
      </c>
      <c r="D107" t="str">
        <v>Cử nhân cấp bằng (Full 4 năm)</v>
      </c>
      <c r="E107" t="str">
        <v>AU</v>
      </c>
      <c r="F107" t="str">
        <v>Năm 3</v>
      </c>
      <c r="G107" t="str">
        <v>SEM SP</v>
      </c>
      <c r="H107" t="str">
        <v>BSAD-407</v>
      </c>
      <c r="I107" t="str">
        <v>Quality Management</v>
      </c>
      <c r="J107" t="str">
        <v>Đào Ngọc Diệp</v>
      </c>
      <c r="K107">
        <v>2</v>
      </c>
      <c r="L107">
        <v>45</v>
      </c>
      <c r="M107">
        <v>90</v>
      </c>
      <c r="N107">
        <v>90</v>
      </c>
      <c r="O107">
        <v>90</v>
      </c>
      <c r="P107">
        <v>92</v>
      </c>
      <c r="Q107">
        <v>88</v>
      </c>
      <c r="R107" t="str">
        <v>N/A</v>
      </c>
      <c r="S107">
        <v>91</v>
      </c>
      <c r="T107">
        <f>IF(OR(M107="N/A",P107="N/A"),"N/A",ROUND(P107/M107*100,1))</f>
      </c>
      <c r="U107">
        <f>IF(OR(N107="N/A",Q107="N/A"),"N/A",ROUND(IF(Q107/N107&gt;=1,Q107/N107,MIN(1,(Q107/N107)+(IF(OR(R107="N/A",R107=""),0,R107/N107))))*100,1))</f>
      </c>
      <c r="V107">
        <f>IF(OR(O107="N/A",S107="N/A"),"N/A",ROUND(S107/O107*100,1))</f>
      </c>
      <c r="W107">
        <f>IF(COUNT(T107:V107)&gt;0,ROUND(AVERAGE(T107:V107),1),"N/A")</f>
      </c>
      <c r="X107" t="str">
        <v>Kỳ học theo khóa</v>
      </c>
    </row>
    <row r="108">
      <c r="A108">
        <v>107</v>
      </c>
      <c r="B108" t="str">
        <v>AU</v>
      </c>
      <c r="C108" t="str">
        <v>Andrews University (AU)</v>
      </c>
      <c r="D108" t="str">
        <v>Cử nhân cấp bằng (Full 4 năm)</v>
      </c>
      <c r="E108" t="str">
        <v>AU</v>
      </c>
      <c r="F108" t="str">
        <v>Năm 3</v>
      </c>
      <c r="G108" t="str">
        <v>SEM SP</v>
      </c>
      <c r="H108" t="str">
        <v>BSAD355</v>
      </c>
      <c r="I108" t="str">
        <v>Management and Organization</v>
      </c>
      <c r="J108" t="str">
        <v>Đào Ngọc Diệp</v>
      </c>
      <c r="K108">
        <v>2</v>
      </c>
      <c r="L108">
        <v>45</v>
      </c>
      <c r="M108">
        <v>90</v>
      </c>
      <c r="N108">
        <v>90</v>
      </c>
      <c r="O108">
        <v>90</v>
      </c>
      <c r="P108">
        <v>92</v>
      </c>
      <c r="Q108">
        <v>88</v>
      </c>
      <c r="R108" t="str">
        <v>N/A</v>
      </c>
      <c r="S108">
        <v>91</v>
      </c>
      <c r="T108">
        <f>IF(OR(M108="N/A",P108="N/A"),"N/A",ROUND(P108/M108*100,1))</f>
      </c>
      <c r="U108">
        <f>IF(OR(N108="N/A",Q108="N/A"),"N/A",ROUND(IF(Q108/N108&gt;=1,Q108/N108,MIN(1,(Q108/N108)+(IF(OR(R108="N/A",R108=""),0,R108/N108))))*100,1))</f>
      </c>
      <c r="V108">
        <f>IF(OR(O108="N/A",S108="N/A"),"N/A",ROUND(S108/O108*100,1))</f>
      </c>
      <c r="W108">
        <f>IF(COUNT(T108:V108)&gt;0,ROUND(AVERAGE(T108:V108),1),"N/A")</f>
      </c>
      <c r="X108" t="str">
        <v>Kỳ học theo khóa</v>
      </c>
    </row>
    <row r="109">
      <c r="A109">
        <v>108</v>
      </c>
      <c r="B109" t="str">
        <v>AU</v>
      </c>
      <c r="C109" t="str">
        <v>Andrews University (AU)</v>
      </c>
      <c r="D109" t="str">
        <v>Cử nhân cấp bằng (Full 4 năm)</v>
      </c>
      <c r="E109" t="str">
        <v>AU</v>
      </c>
      <c r="F109" t="str">
        <v>Năm 3</v>
      </c>
      <c r="G109" t="str">
        <v>SEM SP</v>
      </c>
      <c r="H109" t="str">
        <v>MKTG-368</v>
      </c>
      <c r="I109" t="str">
        <v>Advertising and Promotion</v>
      </c>
      <c r="J109" t="str">
        <v>Đào Ngọc Diệp</v>
      </c>
      <c r="K109">
        <v>2</v>
      </c>
      <c r="L109">
        <v>45</v>
      </c>
      <c r="M109">
        <v>90</v>
      </c>
      <c r="N109">
        <v>90</v>
      </c>
      <c r="O109">
        <v>90</v>
      </c>
      <c r="P109">
        <v>92</v>
      </c>
      <c r="Q109">
        <v>88</v>
      </c>
      <c r="R109" t="str">
        <v>N/A</v>
      </c>
      <c r="S109">
        <v>91</v>
      </c>
      <c r="T109">
        <f>IF(OR(M109="N/A",P109="N/A"),"N/A",ROUND(P109/M109*100,1))</f>
      </c>
      <c r="U109">
        <f>IF(OR(N109="N/A",Q109="N/A"),"N/A",ROUND(IF(Q109/N109&gt;=1,Q109/N109,MIN(1,(Q109/N109)+(IF(OR(R109="N/A",R109=""),0,R109/N109))))*100,1))</f>
      </c>
      <c r="V109">
        <f>IF(OR(O109="N/A",S109="N/A"),"N/A",ROUND(S109/O109*100,1))</f>
      </c>
      <c r="W109">
        <f>IF(COUNT(T109:V109)&gt;0,ROUND(AVERAGE(T109:V109),1),"N/A")</f>
      </c>
      <c r="X109" t="str">
        <v>Kỳ học theo khóa</v>
      </c>
    </row>
    <row r="110">
      <c r="A110">
        <v>109</v>
      </c>
      <c r="B110" t="str">
        <v>AU</v>
      </c>
      <c r="C110" t="str">
        <v>Andrews University (AU)</v>
      </c>
      <c r="D110" t="str">
        <v>Cử nhân cấp bằng (Full 4 năm)</v>
      </c>
      <c r="E110" t="str">
        <v>AU</v>
      </c>
      <c r="F110" t="str">
        <v>Năm 3</v>
      </c>
      <c r="G110" t="str">
        <v>SEM SU</v>
      </c>
      <c r="H110" t="str">
        <v>FNCE-397</v>
      </c>
      <c r="I110" t="str">
        <v>Investments</v>
      </c>
      <c r="J110" t="str">
        <v>Đào Ngọc Diệp</v>
      </c>
      <c r="K110">
        <v>2</v>
      </c>
      <c r="L110">
        <v>45</v>
      </c>
      <c r="M110">
        <v>90</v>
      </c>
      <c r="N110">
        <v>90</v>
      </c>
      <c r="O110">
        <v>90</v>
      </c>
      <c r="P110">
        <v>92</v>
      </c>
      <c r="Q110">
        <v>88</v>
      </c>
      <c r="R110" t="str">
        <v>N/A</v>
      </c>
      <c r="S110">
        <v>91</v>
      </c>
      <c r="T110">
        <f>IF(OR(M110="N/A",P110="N/A"),"N/A",ROUND(P110/M110*100,1))</f>
      </c>
      <c r="U110">
        <f>IF(OR(N110="N/A",Q110="N/A"),"N/A",ROUND(IF(Q110/N110&gt;=1,Q110/N110,MIN(1,(Q110/N110)+(IF(OR(R110="N/A",R110=""),0,R110/N110))))*100,1))</f>
      </c>
      <c r="V110">
        <f>IF(OR(O110="N/A",S110="N/A"),"N/A",ROUND(S110/O110*100,1))</f>
      </c>
      <c r="W110">
        <f>IF(COUNT(T110:V110)&gt;0,ROUND(AVERAGE(T110:V110),1),"N/A")</f>
      </c>
      <c r="X110" t="str">
        <v>Kỳ học theo khóa</v>
      </c>
    </row>
    <row r="111">
      <c r="A111">
        <v>110</v>
      </c>
      <c r="B111" t="str">
        <v>AU</v>
      </c>
      <c r="C111" t="str">
        <v>Andrews University (AU)</v>
      </c>
      <c r="D111" t="str">
        <v>Cử nhân cấp bằng (Full 4 năm)</v>
      </c>
      <c r="E111" t="str">
        <v>AU</v>
      </c>
      <c r="F111" t="str">
        <v>Năm 3</v>
      </c>
      <c r="G111" t="str">
        <v>SEM SU</v>
      </c>
      <c r="H111" t="str">
        <v>MKTG-465</v>
      </c>
      <c r="I111" t="str">
        <v>International Marketing</v>
      </c>
      <c r="J111" t="str">
        <v>Đào Ngọc Diệp</v>
      </c>
      <c r="K111">
        <v>2</v>
      </c>
      <c r="L111">
        <v>45</v>
      </c>
      <c r="M111">
        <v>90</v>
      </c>
      <c r="N111">
        <v>90</v>
      </c>
      <c r="O111">
        <v>90</v>
      </c>
      <c r="P111">
        <v>92</v>
      </c>
      <c r="Q111">
        <v>88</v>
      </c>
      <c r="R111" t="str">
        <v>N/A</v>
      </c>
      <c r="S111">
        <v>91</v>
      </c>
      <c r="T111">
        <f>IF(OR(M111="N/A",P111="N/A"),"N/A",ROUND(P111/M111*100,1))</f>
      </c>
      <c r="U111">
        <f>IF(OR(N111="N/A",Q111="N/A"),"N/A",ROUND(IF(Q111/N111&gt;=1,Q111/N111,MIN(1,(Q111/N111)+(IF(OR(R111="N/A",R111=""),0,R111/N111))))*100,1))</f>
      </c>
      <c r="V111">
        <f>IF(OR(O111="N/A",S111="N/A"),"N/A",ROUND(S111/O111*100,1))</f>
      </c>
      <c r="W111">
        <f>IF(COUNT(T111:V111)&gt;0,ROUND(AVERAGE(T111:V111),1),"N/A")</f>
      </c>
      <c r="X111" t="str">
        <v>Kỳ học theo khóa</v>
      </c>
    </row>
    <row r="112">
      <c r="A112">
        <v>111</v>
      </c>
      <c r="B112" t="str">
        <v>AU</v>
      </c>
      <c r="C112" t="str">
        <v>Andrews University (AU)</v>
      </c>
      <c r="D112" t="str">
        <v>Cử nhân cấp bằng (Full 4 năm)</v>
      </c>
      <c r="E112" t="str">
        <v>AU</v>
      </c>
      <c r="F112" t="str">
        <v>Năm 3</v>
      </c>
      <c r="G112" t="str">
        <v>SEM SU</v>
      </c>
      <c r="H112" t="str">
        <v>RELT-390</v>
      </c>
      <c r="I112" t="str">
        <v>Business Ethics</v>
      </c>
      <c r="J112" t="str">
        <v>Đào Ngọc Diệp</v>
      </c>
      <c r="K112">
        <v>2</v>
      </c>
      <c r="L112">
        <v>45</v>
      </c>
      <c r="M112">
        <v>90</v>
      </c>
      <c r="N112">
        <v>90</v>
      </c>
      <c r="O112">
        <v>90</v>
      </c>
      <c r="P112">
        <v>92</v>
      </c>
      <c r="Q112">
        <v>88</v>
      </c>
      <c r="R112" t="str">
        <v>N/A</v>
      </c>
      <c r="S112">
        <v>91</v>
      </c>
      <c r="T112">
        <f>IF(OR(M112="N/A",P112="N/A"),"N/A",ROUND(P112/M112*100,1))</f>
      </c>
      <c r="U112">
        <f>IF(OR(N112="N/A",Q112="N/A"),"N/A",ROUND(IF(Q112/N112&gt;=1,Q112/N112,MIN(1,(Q112/N112)+(IF(OR(R112="N/A",R112=""),0,R112/N112))))*100,1))</f>
      </c>
      <c r="V112">
        <f>IF(OR(O112="N/A",S112="N/A"),"N/A",ROUND(S112/O112*100,1))</f>
      </c>
      <c r="W112">
        <f>IF(COUNT(T112:V112)&gt;0,ROUND(AVERAGE(T112:V112),1),"N/A")</f>
      </c>
      <c r="X112" t="str">
        <v>Kỳ học theo khóa</v>
      </c>
    </row>
    <row r="113">
      <c r="A113">
        <v>112</v>
      </c>
      <c r="B113" t="str">
        <v>AU</v>
      </c>
      <c r="C113" t="str">
        <v>Andrews University (AU)</v>
      </c>
      <c r="D113" t="str">
        <v>Cử nhân cấp bằng (Full 4 năm)</v>
      </c>
      <c r="E113" t="str">
        <v>AU</v>
      </c>
      <c r="F113" t="str">
        <v>Năm 4</v>
      </c>
      <c r="G113" t="str">
        <v>SEM AU</v>
      </c>
      <c r="H113" t="str">
        <v>BSAD-365</v>
      </c>
      <c r="I113" t="str">
        <v>International Environment of Business</v>
      </c>
      <c r="J113" t="str">
        <v>Đào Ngọc Diệp</v>
      </c>
      <c r="K113">
        <v>2</v>
      </c>
      <c r="L113">
        <v>45</v>
      </c>
      <c r="M113">
        <v>90</v>
      </c>
      <c r="N113">
        <v>90</v>
      </c>
      <c r="O113">
        <v>90</v>
      </c>
      <c r="P113">
        <v>92</v>
      </c>
      <c r="Q113">
        <v>88</v>
      </c>
      <c r="R113" t="str">
        <v>N/A</v>
      </c>
      <c r="S113">
        <v>91</v>
      </c>
      <c r="T113">
        <f>IF(OR(M113="N/A",P113="N/A"),"N/A",ROUND(P113/M113*100,1))</f>
      </c>
      <c r="U113">
        <f>IF(OR(N113="N/A",Q113="N/A"),"N/A",ROUND(IF(Q113/N113&gt;=1,Q113/N113,MIN(1,(Q113/N113)+(IF(OR(R113="N/A",R113=""),0,R113/N113))))*100,1))</f>
      </c>
      <c r="V113">
        <f>IF(OR(O113="N/A",S113="N/A"),"N/A",ROUND(S113/O113*100,1))</f>
      </c>
      <c r="W113">
        <f>IF(COUNT(T113:V113)&gt;0,ROUND(AVERAGE(T113:V113),1),"N/A")</f>
      </c>
      <c r="X113" t="str">
        <v>Kỳ học theo khóa</v>
      </c>
    </row>
    <row r="114">
      <c r="A114">
        <v>113</v>
      </c>
      <c r="B114" t="str">
        <v>AU</v>
      </c>
      <c r="C114" t="str">
        <v>Andrews University (AU)</v>
      </c>
      <c r="D114" t="str">
        <v>Cử nhân cấp bằng (Full 4 năm)</v>
      </c>
      <c r="E114" t="str">
        <v>AU</v>
      </c>
      <c r="F114" t="str">
        <v>Năm 4</v>
      </c>
      <c r="G114" t="str">
        <v>SEM AU</v>
      </c>
      <c r="H114" t="str">
        <v>BSAD-384</v>
      </c>
      <c r="I114" t="str">
        <v>Human Resource Management</v>
      </c>
      <c r="J114" t="str">
        <v>Đào Ngọc Diệp</v>
      </c>
      <c r="K114">
        <v>2</v>
      </c>
      <c r="L114">
        <v>45</v>
      </c>
      <c r="M114">
        <v>90</v>
      </c>
      <c r="N114">
        <v>90</v>
      </c>
      <c r="O114">
        <v>90</v>
      </c>
      <c r="P114">
        <v>92</v>
      </c>
      <c r="Q114">
        <v>88</v>
      </c>
      <c r="R114" t="str">
        <v>N/A</v>
      </c>
      <c r="S114">
        <v>91</v>
      </c>
      <c r="T114">
        <f>IF(OR(M114="N/A",P114="N/A"),"N/A",ROUND(P114/M114*100,1))</f>
      </c>
      <c r="U114">
        <f>IF(OR(N114="N/A",Q114="N/A"),"N/A",ROUND(IF(Q114/N114&gt;=1,Q114/N114,MIN(1,(Q114/N114)+(IF(OR(R114="N/A",R114=""),0,R114/N114))))*100,1))</f>
      </c>
      <c r="V114">
        <f>IF(OR(O114="N/A",S114="N/A"),"N/A",ROUND(S114/O114*100,1))</f>
      </c>
      <c r="W114">
        <f>IF(COUNT(T114:V114)&gt;0,ROUND(AVERAGE(T114:V114),1),"N/A")</f>
      </c>
      <c r="X114" t="str">
        <v>Kỳ học theo khóa</v>
      </c>
    </row>
    <row r="115">
      <c r="A115">
        <v>114</v>
      </c>
      <c r="B115" t="str">
        <v>AU</v>
      </c>
      <c r="C115" t="str">
        <v>Andrews University (AU)</v>
      </c>
      <c r="D115" t="str">
        <v>Cử nhân cấp bằng (Full 4 năm)</v>
      </c>
      <c r="E115" t="str">
        <v>AU</v>
      </c>
      <c r="F115" t="str">
        <v>Năm 4</v>
      </c>
      <c r="G115" t="str">
        <v>SEM AU</v>
      </c>
      <c r="H115" t="str">
        <v>ECON-454</v>
      </c>
      <c r="I115" t="str">
        <v>International Economics</v>
      </c>
      <c r="J115" t="str">
        <v>Đào Ngọc Diệp</v>
      </c>
      <c r="K115">
        <v>2</v>
      </c>
      <c r="L115">
        <v>45</v>
      </c>
      <c r="M115">
        <v>90</v>
      </c>
      <c r="N115">
        <v>90</v>
      </c>
      <c r="O115">
        <v>90</v>
      </c>
      <c r="P115">
        <v>92</v>
      </c>
      <c r="Q115">
        <v>88</v>
      </c>
      <c r="R115" t="str">
        <v>N/A</v>
      </c>
      <c r="S115">
        <v>91</v>
      </c>
      <c r="T115">
        <f>IF(OR(M115="N/A",P115="N/A"),"N/A",ROUND(P115/M115*100,1))</f>
      </c>
      <c r="U115">
        <f>IF(OR(N115="N/A",Q115="N/A"),"N/A",ROUND(IF(Q115/N115&gt;=1,Q115/N115,MIN(1,(Q115/N115)+(IF(OR(R115="N/A",R115=""),0,R115/N115))))*100,1))</f>
      </c>
      <c r="V115">
        <f>IF(OR(O115="N/A",S115="N/A"),"N/A",ROUND(S115/O115*100,1))</f>
      </c>
      <c r="W115">
        <f>IF(COUNT(T115:V115)&gt;0,ROUND(AVERAGE(T115:V115),1),"N/A")</f>
      </c>
      <c r="X115" t="str">
        <v>Kỳ học theo khóa</v>
      </c>
    </row>
    <row r="116">
      <c r="A116">
        <v>115</v>
      </c>
      <c r="B116" t="str">
        <v>AU</v>
      </c>
      <c r="C116" t="str">
        <v>Andrews University (AU)</v>
      </c>
      <c r="D116" t="str">
        <v>Cử nhân cấp bằng (Full 4 năm)</v>
      </c>
      <c r="E116" t="str">
        <v>AU</v>
      </c>
      <c r="F116" t="str">
        <v>Năm 4</v>
      </c>
      <c r="G116" t="str">
        <v>SEM AU</v>
      </c>
      <c r="H116" t="str">
        <v>MKTG-320</v>
      </c>
      <c r="I116" t="str">
        <v>Consumer Behavior</v>
      </c>
      <c r="J116" t="str">
        <v>Đào Ngọc Diệp</v>
      </c>
      <c r="K116">
        <v>2</v>
      </c>
      <c r="L116">
        <v>45</v>
      </c>
      <c r="M116">
        <v>90</v>
      </c>
      <c r="N116">
        <v>90</v>
      </c>
      <c r="O116">
        <v>90</v>
      </c>
      <c r="P116">
        <v>92</v>
      </c>
      <c r="Q116">
        <v>88</v>
      </c>
      <c r="R116" t="str">
        <v>N/A</v>
      </c>
      <c r="S116">
        <v>91</v>
      </c>
      <c r="T116">
        <f>IF(OR(M116="N/A",P116="N/A"),"N/A",ROUND(P116/M116*100,1))</f>
      </c>
      <c r="U116">
        <f>IF(OR(N116="N/A",Q116="N/A"),"N/A",ROUND(IF(Q116/N116&gt;=1,Q116/N116,MIN(1,(Q116/N116)+(IF(OR(R116="N/A",R116=""),0,R116/N116))))*100,1))</f>
      </c>
      <c r="V116">
        <f>IF(OR(O116="N/A",S116="N/A"),"N/A",ROUND(S116/O116*100,1))</f>
      </c>
      <c r="W116">
        <f>IF(COUNT(T116:V116)&gt;0,ROUND(AVERAGE(T116:V116),1),"N/A")</f>
      </c>
      <c r="X116" t="str">
        <v>Kỳ học theo khóa</v>
      </c>
    </row>
    <row r="117">
      <c r="A117">
        <v>116</v>
      </c>
      <c r="B117" t="str">
        <v>AU</v>
      </c>
      <c r="C117" t="str">
        <v>Andrews University (AU)</v>
      </c>
      <c r="D117" t="str">
        <v>Cử nhân cấp bằng (Full 4 năm)</v>
      </c>
      <c r="E117" t="str">
        <v>AU</v>
      </c>
      <c r="F117" t="str">
        <v>Năm 4</v>
      </c>
      <c r="G117" t="str">
        <v>SEM SP</v>
      </c>
      <c r="H117" t="str">
        <v>BSAD-410</v>
      </c>
      <c r="I117" t="str">
        <v>Entrepreneuring</v>
      </c>
      <c r="J117" t="str">
        <v>Đào Ngọc Diệp</v>
      </c>
      <c r="K117">
        <v>2</v>
      </c>
      <c r="L117">
        <v>45</v>
      </c>
      <c r="M117">
        <v>90</v>
      </c>
      <c r="N117">
        <v>90</v>
      </c>
      <c r="O117">
        <v>90</v>
      </c>
      <c r="P117">
        <v>92</v>
      </c>
      <c r="Q117">
        <v>88</v>
      </c>
      <c r="R117" t="str">
        <v>N/A</v>
      </c>
      <c r="S117">
        <v>91</v>
      </c>
      <c r="T117">
        <f>IF(OR(M117="N/A",P117="N/A"),"N/A",ROUND(P117/M117*100,1))</f>
      </c>
      <c r="U117">
        <f>IF(OR(N117="N/A",Q117="N/A"),"N/A",ROUND(IF(Q117/N117&gt;=1,Q117/N117,MIN(1,(Q117/N117)+(IF(OR(R117="N/A",R117=""),0,R117/N117))))*100,1))</f>
      </c>
      <c r="V117">
        <f>IF(OR(O117="N/A",S117="N/A"),"N/A",ROUND(S117/O117*100,1))</f>
      </c>
      <c r="W117">
        <f>IF(COUNT(T117:V117)&gt;0,ROUND(AVERAGE(T117:V117),1),"N/A")</f>
      </c>
      <c r="X117" t="str">
        <v>Kỳ học theo khóa</v>
      </c>
    </row>
    <row r="118">
      <c r="A118">
        <v>117</v>
      </c>
      <c r="B118" t="str">
        <v>AU</v>
      </c>
      <c r="C118" t="str">
        <v>Andrews University (AU)</v>
      </c>
      <c r="D118" t="str">
        <v>Cử nhân cấp bằng (Full 4 năm)</v>
      </c>
      <c r="E118" t="str">
        <v>AU</v>
      </c>
      <c r="F118" t="str">
        <v>Năm 4</v>
      </c>
      <c r="G118" t="str">
        <v>SEM SP</v>
      </c>
      <c r="H118" t="str">
        <v>BSAD-450</v>
      </c>
      <c r="I118" t="str">
        <v>Multicultural Business Relations</v>
      </c>
      <c r="J118" t="str">
        <v>Đào Ngọc Diệp</v>
      </c>
      <c r="K118">
        <v>2</v>
      </c>
      <c r="L118">
        <v>45</v>
      </c>
      <c r="M118">
        <v>90</v>
      </c>
      <c r="N118">
        <v>90</v>
      </c>
      <c r="O118">
        <v>90</v>
      </c>
      <c r="P118">
        <v>92</v>
      </c>
      <c r="Q118">
        <v>88</v>
      </c>
      <c r="R118" t="str">
        <v>N/A</v>
      </c>
      <c r="S118">
        <v>91</v>
      </c>
      <c r="T118">
        <f>IF(OR(M118="N/A",P118="N/A"),"N/A",ROUND(P118/M118*100,1))</f>
      </c>
      <c r="U118">
        <f>IF(OR(N118="N/A",Q118="N/A"),"N/A",ROUND(IF(Q118/N118&gt;=1,Q118/N118,MIN(1,(Q118/N118)+(IF(OR(R118="N/A",R118=""),0,R118/N118))))*100,1))</f>
      </c>
      <c r="V118">
        <f>IF(OR(O118="N/A",S118="N/A"),"N/A",ROUND(S118/O118*100,1))</f>
      </c>
      <c r="W118">
        <f>IF(COUNT(T118:V118)&gt;0,ROUND(AVERAGE(T118:V118),1),"N/A")</f>
      </c>
      <c r="X118" t="str">
        <v>Kỳ học theo khóa</v>
      </c>
    </row>
    <row r="119">
      <c r="A119">
        <v>118</v>
      </c>
      <c r="B119" t="str">
        <v>AU</v>
      </c>
      <c r="C119" t="str">
        <v>Andrews University (AU)</v>
      </c>
      <c r="D119" t="str">
        <v>Cử nhân cấp bằng (Full 4 năm)</v>
      </c>
      <c r="E119" t="str">
        <v>AU</v>
      </c>
      <c r="F119" t="str">
        <v>Năm 4</v>
      </c>
      <c r="G119" t="str">
        <v>SEM SP</v>
      </c>
      <c r="H119" t="str">
        <v>BSAD-467</v>
      </c>
      <c r="I119" t="str">
        <v>International Management</v>
      </c>
      <c r="J119" t="str">
        <v>Đào Ngọc Diệp</v>
      </c>
      <c r="K119">
        <v>2</v>
      </c>
      <c r="L119">
        <v>45</v>
      </c>
      <c r="M119">
        <v>90</v>
      </c>
      <c r="N119">
        <v>90</v>
      </c>
      <c r="O119">
        <v>90</v>
      </c>
      <c r="P119">
        <v>92</v>
      </c>
      <c r="Q119">
        <v>88</v>
      </c>
      <c r="R119" t="str">
        <v>N/A</v>
      </c>
      <c r="S119">
        <v>91</v>
      </c>
      <c r="T119">
        <f>IF(OR(M119="N/A",P119="N/A"),"N/A",ROUND(P119/M119*100,1))</f>
      </c>
      <c r="U119">
        <f>IF(OR(N119="N/A",Q119="N/A"),"N/A",ROUND(IF(Q119/N119&gt;=1,Q119/N119,MIN(1,(Q119/N119)+(IF(OR(R119="N/A",R119=""),0,R119/N119))))*100,1))</f>
      </c>
      <c r="V119">
        <f>IF(OR(O119="N/A",S119="N/A"),"N/A",ROUND(S119/O119*100,1))</f>
      </c>
      <c r="W119">
        <f>IF(COUNT(T119:V119)&gt;0,ROUND(AVERAGE(T119:V119),1),"N/A")</f>
      </c>
      <c r="X119" t="str">
        <v>Kỳ học theo khóa</v>
      </c>
    </row>
    <row r="120">
      <c r="A120">
        <v>119</v>
      </c>
      <c r="B120" t="str">
        <v>AU</v>
      </c>
      <c r="C120" t="str">
        <v>Andrews University (AU)</v>
      </c>
      <c r="D120" t="str">
        <v>Cử nhân cấp bằng (Full 4 năm)</v>
      </c>
      <c r="E120" t="str">
        <v>AU</v>
      </c>
      <c r="F120" t="str">
        <v>Năm 4</v>
      </c>
      <c r="G120" t="str">
        <v>SEM SP</v>
      </c>
      <c r="H120" t="str">
        <v>BSAD-487</v>
      </c>
      <c r="I120" t="str">
        <v>Internship</v>
      </c>
      <c r="J120" t="str">
        <v>Đào Ngọc Diệp</v>
      </c>
      <c r="K120">
        <v>2</v>
      </c>
      <c r="L120">
        <v>45</v>
      </c>
      <c r="M120">
        <v>90</v>
      </c>
      <c r="N120">
        <v>90</v>
      </c>
      <c r="O120">
        <v>90</v>
      </c>
      <c r="P120">
        <v>92</v>
      </c>
      <c r="Q120">
        <v>88</v>
      </c>
      <c r="R120" t="str">
        <v>N/A</v>
      </c>
      <c r="S120">
        <v>91</v>
      </c>
      <c r="T120">
        <f>IF(OR(M120="N/A",P120="N/A"),"N/A",ROUND(P120/M120*100,1))</f>
      </c>
      <c r="U120">
        <f>IF(OR(N120="N/A",Q120="N/A"),"N/A",ROUND(IF(Q120/N120&gt;=1,Q120/N120,MIN(1,(Q120/N120)+(IF(OR(R120="N/A",R120=""),0,R120/N120))))*100,1))</f>
      </c>
      <c r="V120">
        <f>IF(OR(O120="N/A",S120="N/A"),"N/A",ROUND(S120/O120*100,1))</f>
      </c>
      <c r="W120">
        <f>IF(COUNT(T120:V120)&gt;0,ROUND(AVERAGE(T120:V120),1),"N/A")</f>
      </c>
      <c r="X120" t="str">
        <v>Kỳ học theo khóa</v>
      </c>
    </row>
    <row r="121">
      <c r="A121">
        <v>120</v>
      </c>
      <c r="B121" t="str">
        <v>AU</v>
      </c>
      <c r="C121" t="str">
        <v>Andrews University (AU)</v>
      </c>
      <c r="D121" t="str">
        <v>Cử nhân cấp bằng (Full 4 năm)</v>
      </c>
      <c r="E121" t="str">
        <v>AU</v>
      </c>
      <c r="F121" t="str">
        <v>Năm 4</v>
      </c>
      <c r="G121" t="str">
        <v>SEM SU</v>
      </c>
      <c r="H121" t="str">
        <v>BSAD-494</v>
      </c>
      <c r="I121" t="str">
        <v>Business Strategy &amp; Decisions</v>
      </c>
      <c r="J121" t="str">
        <v>Đào Ngọc Diệp</v>
      </c>
      <c r="K121">
        <v>2</v>
      </c>
      <c r="L121">
        <v>45</v>
      </c>
      <c r="M121">
        <v>90</v>
      </c>
      <c r="N121">
        <v>90</v>
      </c>
      <c r="O121">
        <v>90</v>
      </c>
      <c r="P121">
        <v>92</v>
      </c>
      <c r="Q121">
        <v>88</v>
      </c>
      <c r="R121" t="str">
        <v>N/A</v>
      </c>
      <c r="S121">
        <v>91</v>
      </c>
      <c r="T121">
        <f>IF(OR(M121="N/A",P121="N/A"),"N/A",ROUND(P121/M121*100,1))</f>
      </c>
      <c r="U121">
        <f>IF(OR(N121="N/A",Q121="N/A"),"N/A",ROUND(IF(Q121/N121&gt;=1,Q121/N121,MIN(1,(Q121/N121)+(IF(OR(R121="N/A",R121=""),0,R121/N121))))*100,1))</f>
      </c>
      <c r="V121">
        <f>IF(OR(O121="N/A",S121="N/A"),"N/A",ROUND(S121/O121*100,1))</f>
      </c>
      <c r="W121">
        <f>IF(COUNT(T121:V121)&gt;0,ROUND(AVERAGE(T121:V121),1),"N/A")</f>
      </c>
      <c r="X121" t="str">
        <v>Kỳ học theo khóa</v>
      </c>
    </row>
    <row r="122">
      <c r="A122">
        <v>121</v>
      </c>
      <c r="B122" t="str">
        <v>AU</v>
      </c>
      <c r="C122" t="str">
        <v>Andrews University (AU)</v>
      </c>
      <c r="D122" t="str">
        <v>Cử nhân cấp bằng (Full 4 năm)</v>
      </c>
      <c r="E122" t="str">
        <v>AU</v>
      </c>
      <c r="F122" t="str">
        <v>Năm 4</v>
      </c>
      <c r="G122" t="str">
        <v>SEM SU</v>
      </c>
      <c r="H122" t="str">
        <v>FNCE-426</v>
      </c>
      <c r="I122" t="str">
        <v>International Finance</v>
      </c>
      <c r="J122" t="str">
        <v>Đào Ngọc Diệp</v>
      </c>
      <c r="K122">
        <v>2</v>
      </c>
      <c r="L122">
        <v>45</v>
      </c>
      <c r="M122">
        <v>90</v>
      </c>
      <c r="N122">
        <v>90</v>
      </c>
      <c r="O122">
        <v>90</v>
      </c>
      <c r="P122">
        <v>92</v>
      </c>
      <c r="Q122">
        <v>88</v>
      </c>
      <c r="R122" t="str">
        <v>N/A</v>
      </c>
      <c r="S122">
        <v>91</v>
      </c>
      <c r="T122">
        <f>IF(OR(M122="N/A",P122="N/A"),"N/A",ROUND(P122/M122*100,1))</f>
      </c>
      <c r="U122">
        <f>IF(OR(N122="N/A",Q122="N/A"),"N/A",ROUND(IF(Q122/N122&gt;=1,Q122/N122,MIN(1,(Q122/N122)+(IF(OR(R122="N/A",R122=""),0,R122/N122))))*100,1))</f>
      </c>
      <c r="V122">
        <f>IF(OR(O122="N/A",S122="N/A"),"N/A",ROUND(S122/O122*100,1))</f>
      </c>
      <c r="W122">
        <f>IF(COUNT(T122:V122)&gt;0,ROUND(AVERAGE(T122:V122),1),"N/A")</f>
      </c>
      <c r="X122" t="str">
        <v>Kỳ học theo khóa</v>
      </c>
    </row>
    <row r="123">
      <c r="A123">
        <v>122</v>
      </c>
      <c r="B123" t="str">
        <v>NHTC</v>
      </c>
      <c r="C123" t="str">
        <v>Ngân hàng - Tài chính (NHTC)</v>
      </c>
      <c r="D123" t="str">
        <v>Cử nhân cấp bằng (Full 3-4 năm)</v>
      </c>
      <c r="E123" t="str">
        <v>BScBF I20</v>
      </c>
      <c r="F123" t="str">
        <v>Năm 2</v>
      </c>
      <c r="G123" t="str">
        <v>SEM 1</v>
      </c>
      <c r="H123" t="str">
        <v>UMED8H-30-1</v>
      </c>
      <c r="I123" t="str">
        <v>Financial Institutions &amp; Market</v>
      </c>
      <c r="J123" t="str">
        <v>Trần Thị Bích Ngọc</v>
      </c>
      <c r="K123">
        <v>2</v>
      </c>
      <c r="L123">
        <v>35</v>
      </c>
      <c r="M123">
        <v>95</v>
      </c>
      <c r="N123">
        <v>95</v>
      </c>
      <c r="O123">
        <v>100</v>
      </c>
      <c r="P123">
        <v>94</v>
      </c>
      <c r="Q123">
        <v>96</v>
      </c>
      <c r="R123" t="str">
        <v>N/A</v>
      </c>
      <c r="S123">
        <v>99</v>
      </c>
      <c r="T123">
        <f>IF(OR(M123="N/A",P123="N/A"),"N/A",ROUND(P123/M123*100,1))</f>
      </c>
      <c r="U123">
        <f>IF(OR(N123="N/A",Q123="N/A"),"N/A",ROUND(IF(Q123/N123&gt;=1,Q123/N123,MIN(1,(Q123/N123)+(IF(OR(R123="N/A",R123=""),0,R123/N123))))*100,1))</f>
      </c>
      <c r="V123">
        <f>IF(OR(O123="N/A",S123="N/A"),"N/A",ROUND(S123/O123*100,1))</f>
      </c>
      <c r="W123">
        <f>IF(COUNT(T123:V123)&gt;0,ROUND(AVERAGE(T123:V123),1),"N/A")</f>
      </c>
      <c r="X123" t="str">
        <v>Kỳ học theo khóa</v>
      </c>
    </row>
    <row r="124">
      <c r="A124">
        <v>123</v>
      </c>
      <c r="B124" t="str">
        <v>NHTC</v>
      </c>
      <c r="C124" t="str">
        <v>Ngân hàng - Tài chính (NHTC)</v>
      </c>
      <c r="D124" t="str">
        <v>Cử nhân cấp bằng (Full 3-4 năm)</v>
      </c>
      <c r="E124" t="str">
        <v>BScBF I20</v>
      </c>
      <c r="F124" t="str">
        <v>Năm 2</v>
      </c>
      <c r="G124" t="str">
        <v>SEM 1</v>
      </c>
      <c r="H124" t="str">
        <v>UMET9V-30-1</v>
      </c>
      <c r="I124" t="str">
        <v>Economics for Banking and Finance</v>
      </c>
      <c r="J124" t="str">
        <v>Trần Thị Bích Ngọc</v>
      </c>
      <c r="K124">
        <v>2</v>
      </c>
      <c r="L124">
        <v>35</v>
      </c>
      <c r="M124">
        <v>95</v>
      </c>
      <c r="N124">
        <v>90</v>
      </c>
      <c r="O124">
        <v>100</v>
      </c>
      <c r="P124">
        <v>100</v>
      </c>
      <c r="Q124">
        <v>100</v>
      </c>
      <c r="R124" t="str">
        <v>N/A</v>
      </c>
      <c r="S124">
        <v>100</v>
      </c>
      <c r="T124">
        <f>IF(OR(M124="N/A",P124="N/A"),"N/A",ROUND(P124/M124*100,1))</f>
      </c>
      <c r="U124">
        <f>IF(OR(N124="N/A",Q124="N/A"),"N/A",ROUND(IF(Q124/N124&gt;=1,Q124/N124,MIN(1,(Q124/N124)+(IF(OR(R124="N/A",R124=""),0,R124/N124))))*100,1))</f>
      </c>
      <c r="V124">
        <f>IF(OR(O124="N/A",S124="N/A"),"N/A",ROUND(S124/O124*100,1))</f>
      </c>
      <c r="W124">
        <f>IF(COUNT(T124:V124)&gt;0,ROUND(AVERAGE(T124:V124),1),"N/A")</f>
      </c>
      <c r="X124" t="str">
        <v>Kỳ học theo khóa</v>
      </c>
    </row>
    <row r="125">
      <c r="A125">
        <v>124</v>
      </c>
      <c r="B125" t="str">
        <v>NHTC</v>
      </c>
      <c r="C125" t="str">
        <v>Ngân hàng - Tài chính (NHTC)</v>
      </c>
      <c r="D125" t="str">
        <v>Cử nhân cấp bằng (Full 3-4 năm)</v>
      </c>
      <c r="E125" t="str">
        <v>BScBF I20</v>
      </c>
      <c r="F125" t="str">
        <v>Năm 2</v>
      </c>
      <c r="G125" t="str">
        <v>SEM 2</v>
      </c>
      <c r="H125" t="str">
        <v>UMET9G-30-1</v>
      </c>
      <c r="I125" t="str">
        <v>Accounting and Finance for Decision Making</v>
      </c>
      <c r="J125" t="str">
        <v>Trần Thị Bích Ngọc</v>
      </c>
      <c r="K125">
        <v>2</v>
      </c>
      <c r="L125">
        <v>35</v>
      </c>
      <c r="M125">
        <v>95</v>
      </c>
      <c r="N125">
        <v>80</v>
      </c>
      <c r="O125">
        <v>95</v>
      </c>
      <c r="P125">
        <v>94</v>
      </c>
      <c r="Q125">
        <v>77</v>
      </c>
      <c r="R125" t="str">
        <v>N/A</v>
      </c>
      <c r="S125">
        <v>96</v>
      </c>
      <c r="T125">
        <f>IF(OR(M125="N/A",P125="N/A"),"N/A",ROUND(P125/M125*100,1))</f>
      </c>
      <c r="U125">
        <f>IF(OR(N125="N/A",Q125="N/A"),"N/A",ROUND(IF(Q125/N125&gt;=1,Q125/N125,MIN(1,(Q125/N125)+(IF(OR(R125="N/A",R125=""),0,R125/N125))))*100,1))</f>
      </c>
      <c r="V125">
        <f>IF(OR(O125="N/A",S125="N/A"),"N/A",ROUND(S125/O125*100,1))</f>
      </c>
      <c r="W125">
        <f>IF(COUNT(T125:V125)&gt;0,ROUND(AVERAGE(T125:V125),1),"N/A")</f>
      </c>
      <c r="X125" t="str">
        <v>Kỳ 2 (Kỳ hiện tại)</v>
      </c>
    </row>
    <row r="126">
      <c r="A126">
        <v>125</v>
      </c>
      <c r="B126" t="str">
        <v>NHTC</v>
      </c>
      <c r="C126" t="str">
        <v>Ngân hàng - Tài chính (NHTC)</v>
      </c>
      <c r="D126" t="str">
        <v>Cử nhân cấp bằng (Full 3-4 năm)</v>
      </c>
      <c r="E126" t="str">
        <v>BScBF I20</v>
      </c>
      <c r="F126" t="str">
        <v>Năm 2</v>
      </c>
      <c r="G126" t="str">
        <v>SEM 2</v>
      </c>
      <c r="H126" t="str">
        <v>UMET9U-30-1</v>
      </c>
      <c r="I126" t="str">
        <v>Professional Skills for Banking and Finance</v>
      </c>
      <c r="J126" t="str">
        <v>Trần Thị Bích Ngọc</v>
      </c>
      <c r="K126">
        <v>1</v>
      </c>
      <c r="L126">
        <v>35</v>
      </c>
      <c r="M126">
        <v>95</v>
      </c>
      <c r="N126">
        <v>90</v>
      </c>
      <c r="O126">
        <v>100</v>
      </c>
      <c r="P126">
        <v>94</v>
      </c>
      <c r="Q126">
        <v>95</v>
      </c>
      <c r="R126" t="str">
        <v>N/A</v>
      </c>
      <c r="S126">
        <v>100</v>
      </c>
      <c r="T126">
        <f>IF(OR(M126="N/A",P126="N/A"),"N/A",ROUND(P126/M126*100,1))</f>
      </c>
      <c r="U126">
        <f>IF(OR(N126="N/A",Q126="N/A"),"N/A",ROUND(IF(Q126/N126&gt;=1,Q126/N126,MIN(1,(Q126/N126)+(IF(OR(R126="N/A",R126=""),0,R126/N126))))*100,1))</f>
      </c>
      <c r="V126">
        <f>IF(OR(O126="N/A",S126="N/A"),"N/A",ROUND(S126/O126*100,1))</f>
      </c>
      <c r="W126">
        <f>IF(COUNT(T126:V126)&gt;0,ROUND(AVERAGE(T126:V126),1),"N/A")</f>
      </c>
      <c r="X126" t="str">
        <v>Kỳ 2 (Kỳ hiện tại)</v>
      </c>
    </row>
    <row r="127">
      <c r="A127">
        <v>126</v>
      </c>
      <c r="B127" t="str">
        <v>NHTC</v>
      </c>
      <c r="C127" t="str">
        <v>Ngân hàng - Tài chính (NHTC)</v>
      </c>
      <c r="D127" t="str">
        <v>Cử nhân cấp bằng (Full 3-4 năm)</v>
      </c>
      <c r="E127" t="str">
        <v>BScBF I19</v>
      </c>
      <c r="F127" t="str">
        <v>Năm 3</v>
      </c>
      <c r="G127" t="str">
        <v>SEM 1</v>
      </c>
      <c r="H127" t="str">
        <v>UMADNB-15-2</v>
      </c>
      <c r="I127" t="str">
        <v>Financial Accounting</v>
      </c>
      <c r="J127" t="str">
        <v>Trần Thị Bích Ngọc</v>
      </c>
      <c r="K127">
        <v>1</v>
      </c>
      <c r="L127">
        <v>21</v>
      </c>
      <c r="M127">
        <v>90</v>
      </c>
      <c r="N127">
        <v>85</v>
      </c>
      <c r="O127">
        <v>95</v>
      </c>
      <c r="P127">
        <v>96</v>
      </c>
      <c r="Q127">
        <v>92</v>
      </c>
      <c r="R127" t="str">
        <v>N/A</v>
      </c>
      <c r="S127">
        <v>96</v>
      </c>
      <c r="T127">
        <f>IF(OR(M127="N/A",P127="N/A"),"N/A",ROUND(P127/M127*100,1))</f>
      </c>
      <c r="U127">
        <f>IF(OR(N127="N/A",Q127="N/A"),"N/A",ROUND(IF(Q127/N127&gt;=1,Q127/N127,MIN(1,(Q127/N127)+(IF(OR(R127="N/A",R127=""),0,R127/N127))))*100,1))</f>
      </c>
      <c r="V127">
        <f>IF(OR(O127="N/A",S127="N/A"),"N/A",ROUND(S127/O127*100,1))</f>
      </c>
      <c r="W127">
        <f>IF(COUNT(T127:V127)&gt;0,ROUND(AVERAGE(T127:V127),1),"N/A")</f>
      </c>
      <c r="X127" t="str">
        <v>Kỳ học theo khóa</v>
      </c>
    </row>
    <row r="128">
      <c r="A128">
        <v>127</v>
      </c>
      <c r="B128" t="str">
        <v>NHTC</v>
      </c>
      <c r="C128" t="str">
        <v>Ngân hàng - Tài chính (NHTC)</v>
      </c>
      <c r="D128" t="str">
        <v>Cử nhân cấp bằng (Full 3-4 năm)</v>
      </c>
      <c r="E128" t="str">
        <v>BScBF I19</v>
      </c>
      <c r="F128" t="str">
        <v>Năm 3</v>
      </c>
      <c r="G128" t="str">
        <v>SEM 1</v>
      </c>
      <c r="H128" t="str">
        <v>UMED8M-15-2</v>
      </c>
      <c r="I128" t="str">
        <v>Introductory Econometrics</v>
      </c>
      <c r="J128" t="str">
        <v>Trần Thị Bích Ngọc</v>
      </c>
      <c r="K128">
        <v>1</v>
      </c>
      <c r="L128">
        <v>21</v>
      </c>
      <c r="M128">
        <v>90</v>
      </c>
      <c r="N128">
        <v>85</v>
      </c>
      <c r="O128">
        <v>95</v>
      </c>
      <c r="P128">
        <v>95</v>
      </c>
      <c r="Q128">
        <v>90</v>
      </c>
      <c r="R128" t="str">
        <v>N/A</v>
      </c>
      <c r="S128">
        <v>95</v>
      </c>
      <c r="T128">
        <f>IF(OR(M128="N/A",P128="N/A"),"N/A",ROUND(P128/M128*100,1))</f>
      </c>
      <c r="U128">
        <f>IF(OR(N128="N/A",Q128="N/A"),"N/A",ROUND(IF(Q128/N128&gt;=1,Q128/N128,MIN(1,(Q128/N128)+(IF(OR(R128="N/A",R128=""),0,R128/N128))))*100,1))</f>
      </c>
      <c r="V128">
        <f>IF(OR(O128="N/A",S128="N/A"),"N/A",ROUND(S128/O128*100,1))</f>
      </c>
      <c r="W128">
        <f>IF(COUNT(T128:V128)&gt;0,ROUND(AVERAGE(T128:V128),1),"N/A")</f>
      </c>
      <c r="X128" t="str">
        <v>Kỳ học theo khóa</v>
      </c>
    </row>
    <row r="129">
      <c r="A129">
        <v>128</v>
      </c>
      <c r="B129" t="str">
        <v>NHTC</v>
      </c>
      <c r="C129" t="str">
        <v>Ngân hàng - Tài chính (NHTC)</v>
      </c>
      <c r="D129" t="str">
        <v>Cử nhân cấp bằng (Full 3-4 năm)</v>
      </c>
      <c r="E129" t="str">
        <v>BScBF I19</v>
      </c>
      <c r="F129" t="str">
        <v>Năm 3</v>
      </c>
      <c r="G129" t="str">
        <v>SEM 1</v>
      </c>
      <c r="H129" t="str">
        <v>UMED8Q-15-2</v>
      </c>
      <c r="I129" t="str">
        <v>Economics of Money and Banking</v>
      </c>
      <c r="J129" t="str">
        <v>Trần Thị Bích Ngọc</v>
      </c>
      <c r="K129">
        <v>1</v>
      </c>
      <c r="L129">
        <v>21</v>
      </c>
      <c r="M129">
        <v>90</v>
      </c>
      <c r="N129">
        <v>85</v>
      </c>
      <c r="O129">
        <v>95</v>
      </c>
      <c r="P129">
        <v>94</v>
      </c>
      <c r="Q129">
        <v>88</v>
      </c>
      <c r="R129" t="str">
        <v>N/A</v>
      </c>
      <c r="S129">
        <v>95</v>
      </c>
      <c r="T129">
        <f>IF(OR(M129="N/A",P129="N/A"),"N/A",ROUND(P129/M129*100,1))</f>
      </c>
      <c r="U129">
        <f>IF(OR(N129="N/A",Q129="N/A"),"N/A",ROUND(IF(Q129/N129&gt;=1,Q129/N129,MIN(1,(Q129/N129)+(IF(OR(R129="N/A",R129=""),0,R129/N129))))*100,1))</f>
      </c>
      <c r="V129">
        <f>IF(OR(O129="N/A",S129="N/A"),"N/A",ROUND(S129/O129*100,1))</f>
      </c>
      <c r="W129">
        <f>IF(COUNT(T129:V129)&gt;0,ROUND(AVERAGE(T129:V129),1),"N/A")</f>
      </c>
      <c r="X129" t="str">
        <v>Kỳ học theo khóa</v>
      </c>
    </row>
    <row r="130">
      <c r="A130">
        <v>129</v>
      </c>
      <c r="B130" t="str">
        <v>NHTC</v>
      </c>
      <c r="C130" t="str">
        <v>Ngân hàng - Tài chính (NHTC)</v>
      </c>
      <c r="D130" t="str">
        <v>Cử nhân cấp bằng (Full 3-4 năm)</v>
      </c>
      <c r="E130" t="str">
        <v>BScBF I19</v>
      </c>
      <c r="F130" t="str">
        <v>Năm 3</v>
      </c>
      <c r="G130" t="str">
        <v>SEM 1</v>
      </c>
      <c r="H130" t="str">
        <v>UMED8T-30-2</v>
      </c>
      <c r="I130" t="str">
        <v>Principles and Practices of Banking</v>
      </c>
      <c r="J130" t="str">
        <v>Trần Thị Bích Ngọc</v>
      </c>
      <c r="K130">
        <v>1</v>
      </c>
      <c r="L130">
        <v>21</v>
      </c>
      <c r="M130">
        <v>90</v>
      </c>
      <c r="N130">
        <v>85</v>
      </c>
      <c r="O130">
        <v>95</v>
      </c>
      <c r="P130">
        <v>95</v>
      </c>
      <c r="Q130">
        <v>92</v>
      </c>
      <c r="R130" t="str">
        <v>N/A</v>
      </c>
      <c r="S130">
        <v>95</v>
      </c>
      <c r="T130">
        <f>IF(OR(M130="N/A",P130="N/A"),"N/A",ROUND(P130/M130*100,1))</f>
      </c>
      <c r="U130">
        <f>IF(OR(N130="N/A",Q130="N/A"),"N/A",ROUND(IF(Q130/N130&gt;=1,Q130/N130,MIN(1,(Q130/N130)+(IF(OR(R130="N/A",R130=""),0,R130/N130))))*100,1))</f>
      </c>
      <c r="V130">
        <f>IF(OR(O130="N/A",S130="N/A"),"N/A",ROUND(S130/O130*100,1))</f>
      </c>
      <c r="W130">
        <f>IF(COUNT(T130:V130)&gt;0,ROUND(AVERAGE(T130:V130),1),"N/A")</f>
      </c>
      <c r="X130" t="str">
        <v>Kỳ học theo khóa</v>
      </c>
    </row>
    <row r="131">
      <c r="A131">
        <v>130</v>
      </c>
      <c r="B131" t="str">
        <v>NHTC</v>
      </c>
      <c r="C131" t="str">
        <v>Ngân hàng - Tài chính (NHTC)</v>
      </c>
      <c r="D131" t="str">
        <v>Cử nhân cấp bằng (Full 3-4 năm)</v>
      </c>
      <c r="E131" t="str">
        <v>BScBF I20</v>
      </c>
      <c r="F131" t="str">
        <v>Năm 3</v>
      </c>
      <c r="G131" t="str">
        <v>SEM 1</v>
      </c>
      <c r="H131" t="str">
        <v>UMED8T-30-2</v>
      </c>
      <c r="I131" t="str">
        <v>Modern Banking: Theory and Practice</v>
      </c>
      <c r="J131" t="str">
        <v>Trần Thị Bích Ngọc</v>
      </c>
      <c r="K131">
        <v>2</v>
      </c>
      <c r="L131">
        <v>35</v>
      </c>
      <c r="M131">
        <v>90</v>
      </c>
      <c r="N131">
        <v>85</v>
      </c>
      <c r="O131">
        <v>95</v>
      </c>
      <c r="P131">
        <v>0</v>
      </c>
      <c r="Q131">
        <v>0</v>
      </c>
      <c r="R131" t="str">
        <v>N/A</v>
      </c>
      <c r="S131">
        <v>0</v>
      </c>
      <c r="T131">
        <f>IF(OR(M131="N/A",P131="N/A"),"N/A",ROUND(P131/M131*100,1))</f>
      </c>
      <c r="U131">
        <f>IF(OR(N131="N/A",Q131="N/A"),"N/A",ROUND(IF(Q131/N131&gt;=1,Q131/N131,MIN(1,(Q131/N131)+(IF(OR(R131="N/A",R131=""),0,R131/N131))))*100,1))</f>
      </c>
      <c r="V131">
        <f>IF(OR(O131="N/A",S131="N/A"),"N/A",ROUND(S131/O131*100,1))</f>
      </c>
      <c r="W131">
        <f>IF(COUNT(T131:V131)&gt;0,ROUND(AVERAGE(T131:V131),1),"N/A")</f>
      </c>
      <c r="X131" t="str">
        <v>Kỳ học theo khóa</v>
      </c>
    </row>
    <row r="132">
      <c r="A132">
        <v>131</v>
      </c>
      <c r="B132" t="str">
        <v>NHTC</v>
      </c>
      <c r="C132" t="str">
        <v>Ngân hàng - Tài chính (NHTC)</v>
      </c>
      <c r="D132" t="str">
        <v>Cử nhân cấp bằng (Full 3-4 năm)</v>
      </c>
      <c r="E132" t="str">
        <v>BScBF I20</v>
      </c>
      <c r="F132" t="str">
        <v>Năm 3</v>
      </c>
      <c r="G132" t="str">
        <v>SEM 1</v>
      </c>
      <c r="H132" t="str">
        <v>UMEDXG-30-2</v>
      </c>
      <c r="I132" t="str">
        <v>Financial Analysis and Security Valuation</v>
      </c>
      <c r="J132" t="str">
        <v>Trần Thị Bích Ngọc</v>
      </c>
      <c r="K132">
        <v>2</v>
      </c>
      <c r="L132">
        <v>35</v>
      </c>
      <c r="M132">
        <v>90</v>
      </c>
      <c r="N132">
        <v>85</v>
      </c>
      <c r="O132">
        <v>95</v>
      </c>
      <c r="P132">
        <v>0</v>
      </c>
      <c r="Q132">
        <v>0</v>
      </c>
      <c r="R132" t="str">
        <v>N/A</v>
      </c>
      <c r="S132">
        <v>0</v>
      </c>
      <c r="T132">
        <f>IF(OR(M132="N/A",P132="N/A"),"N/A",ROUND(P132/M132*100,1))</f>
      </c>
      <c r="U132">
        <f>IF(OR(N132="N/A",Q132="N/A"),"N/A",ROUND(IF(Q132/N132&gt;=1,Q132/N132,MIN(1,(Q132/N132)+(IF(OR(R132="N/A",R132=""),0,R132/N132))))*100,1))</f>
      </c>
      <c r="V132">
        <f>IF(OR(O132="N/A",S132="N/A"),"N/A",ROUND(S132/O132*100,1))</f>
      </c>
      <c r="W132">
        <f>IF(COUNT(T132:V132)&gt;0,ROUND(AVERAGE(T132:V132),1),"N/A")</f>
      </c>
      <c r="X132" t="str">
        <v>Kỳ học theo khóa</v>
      </c>
    </row>
    <row r="133">
      <c r="A133">
        <v>132</v>
      </c>
      <c r="B133" t="str">
        <v>NHTC</v>
      </c>
      <c r="C133" t="str">
        <v>Ngân hàng - Tài chính (NHTC)</v>
      </c>
      <c r="D133" t="str">
        <v>Cử nhân cấp bằng (Full 3-4 năm)</v>
      </c>
      <c r="E133" t="str">
        <v>BScBF I20</v>
      </c>
      <c r="F133" t="str">
        <v>Năm 3</v>
      </c>
      <c r="G133" t="str">
        <v>SEM 1</v>
      </c>
      <c r="H133" t="str">
        <v>UMET9U-30-1</v>
      </c>
      <c r="I133" t="str">
        <v>Governance and Sustainability</v>
      </c>
      <c r="J133" t="str">
        <v>Trần Thị Bích Ngọc</v>
      </c>
      <c r="K133">
        <v>2</v>
      </c>
      <c r="L133">
        <v>35</v>
      </c>
      <c r="M133">
        <v>90</v>
      </c>
      <c r="N133">
        <v>85</v>
      </c>
      <c r="O133">
        <v>95</v>
      </c>
      <c r="P133">
        <v>0</v>
      </c>
      <c r="Q133">
        <v>0</v>
      </c>
      <c r="R133" t="str">
        <v>N/A</v>
      </c>
      <c r="S133">
        <v>0</v>
      </c>
      <c r="T133">
        <f>IF(OR(M133="N/A",P133="N/A"),"N/A",ROUND(P133/M133*100,1))</f>
      </c>
      <c r="U133">
        <f>IF(OR(N133="N/A",Q133="N/A"),"N/A",ROUND(IF(Q133/N133&gt;=1,Q133/N133,MIN(1,(Q133/N133)+(IF(OR(R133="N/A",R133=""),0,R133/N133))))*100,1))</f>
      </c>
      <c r="V133">
        <f>IF(OR(O133="N/A",S133="N/A"),"N/A",ROUND(S133/O133*100,1))</f>
      </c>
      <c r="W133">
        <f>IF(COUNT(T133:V133)&gt;0,ROUND(AVERAGE(T133:V133),1),"N/A")</f>
      </c>
      <c r="X133" t="str">
        <v>Kỳ học theo khóa</v>
      </c>
    </row>
    <row r="134">
      <c r="A134">
        <v>133</v>
      </c>
      <c r="B134" t="str">
        <v>NHTC</v>
      </c>
      <c r="C134" t="str">
        <v>Ngân hàng - Tài chính (NHTC)</v>
      </c>
      <c r="D134" t="str">
        <v>Cử nhân cấp bằng (Full 3-4 năm)</v>
      </c>
      <c r="E134" t="str">
        <v>BScBF I20</v>
      </c>
      <c r="F134" t="str">
        <v>Năm 3</v>
      </c>
      <c r="G134" t="str">
        <v>SEM 1</v>
      </c>
      <c r="H134" t="str">
        <v>UMET9W-30-2</v>
      </c>
      <c r="I134" t="str">
        <v>Econometric Analysis and Professional Advancement</v>
      </c>
      <c r="J134" t="str">
        <v>Trần Thị Bích Ngọc</v>
      </c>
      <c r="K134">
        <v>2</v>
      </c>
      <c r="L134">
        <v>35</v>
      </c>
      <c r="M134">
        <v>90</v>
      </c>
      <c r="N134">
        <v>85</v>
      </c>
      <c r="O134">
        <v>95</v>
      </c>
      <c r="P134">
        <v>0</v>
      </c>
      <c r="Q134">
        <v>0</v>
      </c>
      <c r="R134" t="str">
        <v>N/A</v>
      </c>
      <c r="S134">
        <v>0</v>
      </c>
      <c r="T134">
        <f>IF(OR(M134="N/A",P134="N/A"),"N/A",ROUND(P134/M134*100,1))</f>
      </c>
      <c r="U134">
        <f>IF(OR(N134="N/A",Q134="N/A"),"N/A",ROUND(IF(Q134/N134&gt;=1,Q134/N134,MIN(1,(Q134/N134)+(IF(OR(R134="N/A",R134=""),0,R134/N134))))*100,1))</f>
      </c>
      <c r="V134">
        <f>IF(OR(O134="N/A",S134="N/A"),"N/A",ROUND(S134/O134*100,1))</f>
      </c>
      <c r="W134">
        <f>IF(COUNT(T134:V134)&gt;0,ROUND(AVERAGE(T134:V134),1),"N/A")</f>
      </c>
      <c r="X134" t="str">
        <v>Kỳ học theo khóa</v>
      </c>
    </row>
    <row r="135">
      <c r="A135">
        <v>134</v>
      </c>
      <c r="B135" t="str">
        <v>NHTC</v>
      </c>
      <c r="C135" t="str">
        <v>Ngân hàng - Tài chính (NHTC)</v>
      </c>
      <c r="D135" t="str">
        <v>Cử nhân cấp bằng (Full 3-4 năm)</v>
      </c>
      <c r="E135" t="str">
        <v>BScBF I19</v>
      </c>
      <c r="F135" t="str">
        <v>Năm 3</v>
      </c>
      <c r="G135" t="str">
        <v>SEM 2</v>
      </c>
      <c r="H135" t="str">
        <v>UMADKP-15-2</v>
      </c>
      <c r="I135" t="str">
        <v>Governance and Ethics in Banking</v>
      </c>
      <c r="J135" t="str">
        <v>Trần Thị Bích Ngọc</v>
      </c>
      <c r="K135">
        <v>1</v>
      </c>
      <c r="L135">
        <v>20</v>
      </c>
      <c r="M135">
        <v>90</v>
      </c>
      <c r="N135">
        <v>85</v>
      </c>
      <c r="O135">
        <v>95</v>
      </c>
      <c r="P135">
        <v>96</v>
      </c>
      <c r="Q135">
        <v>96</v>
      </c>
      <c r="R135" t="str">
        <v>N/A</v>
      </c>
      <c r="S135">
        <v>96</v>
      </c>
      <c r="T135">
        <f>IF(OR(M135="N/A",P135="N/A"),"N/A",ROUND(P135/M135*100,1))</f>
      </c>
      <c r="U135">
        <f>IF(OR(N135="N/A",Q135="N/A"),"N/A",ROUND(IF(Q135/N135&gt;=1,Q135/N135,MIN(1,(Q135/N135)+(IF(OR(R135="N/A",R135=""),0,R135/N135))))*100,1))</f>
      </c>
      <c r="V135">
        <f>IF(OR(O135="N/A",S135="N/A"),"N/A",ROUND(S135/O135*100,1))</f>
      </c>
      <c r="W135">
        <f>IF(COUNT(T135:V135)&gt;0,ROUND(AVERAGE(T135:V135),1),"N/A")</f>
      </c>
      <c r="X135" t="str">
        <v>Kỳ 2 (Kỳ hiện tại)</v>
      </c>
    </row>
    <row r="136">
      <c r="A136">
        <v>135</v>
      </c>
      <c r="B136" t="str">
        <v>NHTC</v>
      </c>
      <c r="C136" t="str">
        <v>Ngân hàng - Tài chính (NHTC)</v>
      </c>
      <c r="D136" t="str">
        <v>Cử nhân cấp bằng (Full 3-4 năm)</v>
      </c>
      <c r="E136" t="str">
        <v>BScBF I19</v>
      </c>
      <c r="F136" t="str">
        <v>Năm 3</v>
      </c>
      <c r="G136" t="str">
        <v>SEM 2</v>
      </c>
      <c r="H136" t="str">
        <v>UMADKQ-15-2</v>
      </c>
      <c r="I136" t="str">
        <v>Investment Banking</v>
      </c>
      <c r="J136" t="str">
        <v>Trần Thị Bích Ngọc</v>
      </c>
      <c r="K136">
        <v>1</v>
      </c>
      <c r="L136">
        <v>21</v>
      </c>
      <c r="M136">
        <v>90</v>
      </c>
      <c r="N136">
        <v>85</v>
      </c>
      <c r="O136">
        <v>95</v>
      </c>
      <c r="P136">
        <v>85</v>
      </c>
      <c r="Q136">
        <v>78</v>
      </c>
      <c r="R136" t="str">
        <v>N/A</v>
      </c>
      <c r="S136">
        <v>96</v>
      </c>
      <c r="T136">
        <f>IF(OR(M136="N/A",P136="N/A"),"N/A",ROUND(P136/M136*100,1))</f>
      </c>
      <c r="U136">
        <f>IF(OR(N136="N/A",Q136="N/A"),"N/A",ROUND(IF(Q136/N136&gt;=1,Q136/N136,MIN(1,(Q136/N136)+(IF(OR(R136="N/A",R136=""),0,R136/N136))))*100,1))</f>
      </c>
      <c r="V136">
        <f>IF(OR(O136="N/A",S136="N/A"),"N/A",ROUND(S136/O136*100,1))</f>
      </c>
      <c r="W136">
        <f>IF(COUNT(T136:V136)&gt;0,ROUND(AVERAGE(T136:V136),1),"N/A")</f>
      </c>
      <c r="X136" t="str">
        <v>Kỳ 2 (Kỳ hiện tại)</v>
      </c>
    </row>
    <row r="137">
      <c r="A137">
        <v>136</v>
      </c>
      <c r="B137" t="str">
        <v>NHTC</v>
      </c>
      <c r="C137" t="str">
        <v>Ngân hàng - Tài chính (NHTC)</v>
      </c>
      <c r="D137" t="str">
        <v>Cử nhân cấp bằng (Full 3-4 năm)</v>
      </c>
      <c r="E137" t="str">
        <v>BScBF I19</v>
      </c>
      <c r="F137" t="str">
        <v>Năm 3</v>
      </c>
      <c r="G137" t="str">
        <v>SEM 2</v>
      </c>
      <c r="H137" t="str">
        <v>UMED8N-15-2</v>
      </c>
      <c r="I137" t="str">
        <v>Economic Research Methods</v>
      </c>
      <c r="J137" t="str">
        <v>Trần Thị Bích Ngọc</v>
      </c>
      <c r="K137">
        <v>1</v>
      </c>
      <c r="L137">
        <v>21</v>
      </c>
      <c r="M137">
        <v>90</v>
      </c>
      <c r="N137">
        <v>85</v>
      </c>
      <c r="O137">
        <v>95</v>
      </c>
      <c r="P137">
        <v>96</v>
      </c>
      <c r="Q137">
        <v>89</v>
      </c>
      <c r="R137" t="str">
        <v>N/A</v>
      </c>
      <c r="S137">
        <v>96</v>
      </c>
      <c r="T137">
        <f>IF(OR(M137="N/A",P137="N/A"),"N/A",ROUND(P137/M137*100,1))</f>
      </c>
      <c r="U137">
        <f>IF(OR(N137="N/A",Q137="N/A"),"N/A",ROUND(IF(Q137/N137&gt;=1,Q137/N137,MIN(1,(Q137/N137)+(IF(OR(R137="N/A",R137=""),0,R137/N137))))*100,1))</f>
      </c>
      <c r="V137">
        <f>IF(OR(O137="N/A",S137="N/A"),"N/A",ROUND(S137/O137*100,1))</f>
      </c>
      <c r="W137">
        <f>IF(COUNT(T137:V137)&gt;0,ROUND(AVERAGE(T137:V137),1),"N/A")</f>
      </c>
      <c r="X137" t="str">
        <v>Kỳ 2 (Kỳ hiện tại)</v>
      </c>
    </row>
    <row r="138">
      <c r="A138">
        <v>137</v>
      </c>
      <c r="B138" t="str">
        <v>NHTC</v>
      </c>
      <c r="C138" t="str">
        <v>Ngân hàng - Tài chính (NHTC)</v>
      </c>
      <c r="D138" t="str">
        <v>Cử nhân cấp bằng (Full 3-4 năm)</v>
      </c>
      <c r="E138" t="str">
        <v>BScBF I19</v>
      </c>
      <c r="F138" t="str">
        <v>Năm 3</v>
      </c>
      <c r="G138" t="str">
        <v>SEM 2</v>
      </c>
      <c r="H138" t="str">
        <v>UMED8T-30-2</v>
      </c>
      <c r="I138" t="str">
        <v>Principles and Practices of Banking</v>
      </c>
      <c r="J138" t="str">
        <v>Trần Thị Bích Ngọc</v>
      </c>
      <c r="K138">
        <v>1</v>
      </c>
      <c r="L138">
        <v>21</v>
      </c>
      <c r="M138">
        <v>90</v>
      </c>
      <c r="N138">
        <v>85</v>
      </c>
      <c r="O138">
        <v>95</v>
      </c>
      <c r="P138">
        <v>93</v>
      </c>
      <c r="Q138">
        <v>100</v>
      </c>
      <c r="R138" t="str">
        <v>N/A</v>
      </c>
      <c r="S138">
        <v>96</v>
      </c>
      <c r="T138">
        <f>IF(OR(M138="N/A",P138="N/A"),"N/A",ROUND(P138/M138*100,1))</f>
      </c>
      <c r="U138">
        <f>IF(OR(N138="N/A",Q138="N/A"),"N/A",ROUND(IF(Q138/N138&gt;=1,Q138/N138,MIN(1,(Q138/N138)+(IF(OR(R138="N/A",R138=""),0,R138/N138))))*100,1))</f>
      </c>
      <c r="V138">
        <f>IF(OR(O138="N/A",S138="N/A"),"N/A",ROUND(S138/O138*100,1))</f>
      </c>
      <c r="W138">
        <f>IF(COUNT(T138:V138)&gt;0,ROUND(AVERAGE(T138:V138),1),"N/A")</f>
      </c>
      <c r="X138" t="str">
        <v>Kỳ 2 (Kỳ hiện tại)</v>
      </c>
    </row>
    <row r="139">
      <c r="A139">
        <v>138</v>
      </c>
      <c r="B139" t="str">
        <v>NHTC</v>
      </c>
      <c r="C139" t="str">
        <v>Ngân hàng - Tài chính (NHTC)</v>
      </c>
      <c r="D139" t="str">
        <v>Cử nhân cấp bằng (Full 3-4 năm)</v>
      </c>
      <c r="E139" t="str">
        <v>BScBF I20</v>
      </c>
      <c r="F139" t="str">
        <v>Năm 3</v>
      </c>
      <c r="G139" t="str">
        <v>SEM 2</v>
      </c>
      <c r="H139" t="str">
        <v>UMED8T-30-2</v>
      </c>
      <c r="I139" t="str">
        <v>Modern Banking: Theory and Practice</v>
      </c>
      <c r="J139" t="str">
        <v>Trần Thị Bích Ngọc</v>
      </c>
      <c r="K139">
        <v>2</v>
      </c>
      <c r="L139">
        <v>35</v>
      </c>
      <c r="M139">
        <v>90</v>
      </c>
      <c r="N139">
        <v>85</v>
      </c>
      <c r="O139">
        <v>95</v>
      </c>
      <c r="P139">
        <v>0</v>
      </c>
      <c r="Q139">
        <v>0</v>
      </c>
      <c r="R139" t="str">
        <v>N/A</v>
      </c>
      <c r="S139">
        <v>0</v>
      </c>
      <c r="T139">
        <f>IF(OR(M139="N/A",P139="N/A"),"N/A",ROUND(P139/M139*100,1))</f>
      </c>
      <c r="U139">
        <f>IF(OR(N139="N/A",Q139="N/A"),"N/A",ROUND(IF(Q139/N139&gt;=1,Q139/N139,MIN(1,(Q139/N139)+(IF(OR(R139="N/A",R139=""),0,R139/N139))))*100,1))</f>
      </c>
      <c r="V139">
        <f>IF(OR(O139="N/A",S139="N/A"),"N/A",ROUND(S139/O139*100,1))</f>
      </c>
      <c r="W139">
        <f>IF(COUNT(T139:V139)&gt;0,ROUND(AVERAGE(T139:V139),1),"N/A")</f>
      </c>
      <c r="X139" t="str">
        <v>Kỳ 2 (Kỳ hiện tại)</v>
      </c>
    </row>
    <row r="140">
      <c r="A140">
        <v>139</v>
      </c>
      <c r="B140" t="str">
        <v>NHTC</v>
      </c>
      <c r="C140" t="str">
        <v>Ngân hàng - Tài chính (NHTC)</v>
      </c>
      <c r="D140" t="str">
        <v>Cử nhân cấp bằng (Full 3-4 năm)</v>
      </c>
      <c r="E140" t="str">
        <v>BScBF I20</v>
      </c>
      <c r="F140" t="str">
        <v>Năm 3</v>
      </c>
      <c r="G140" t="str">
        <v>SEM 2</v>
      </c>
      <c r="H140" t="str">
        <v>UMEDXG-30-2</v>
      </c>
      <c r="I140" t="str">
        <v>Financial Analysis and Security Valuation</v>
      </c>
      <c r="J140" t="str">
        <v>Trần Thị Bích Ngọc</v>
      </c>
      <c r="K140">
        <v>2</v>
      </c>
      <c r="L140">
        <v>35</v>
      </c>
      <c r="M140">
        <v>90</v>
      </c>
      <c r="N140">
        <v>85</v>
      </c>
      <c r="O140">
        <v>95</v>
      </c>
      <c r="P140">
        <v>0</v>
      </c>
      <c r="Q140">
        <v>0</v>
      </c>
      <c r="R140" t="str">
        <v>N/A</v>
      </c>
      <c r="S140">
        <v>0</v>
      </c>
      <c r="T140">
        <f>IF(OR(M140="N/A",P140="N/A"),"N/A",ROUND(P140/M140*100,1))</f>
      </c>
      <c r="U140">
        <f>IF(OR(N140="N/A",Q140="N/A"),"N/A",ROUND(IF(Q140/N140&gt;=1,Q140/N140,MIN(1,(Q140/N140)+(IF(OR(R140="N/A",R140=""),0,R140/N140))))*100,1))</f>
      </c>
      <c r="V140">
        <f>IF(OR(O140="N/A",S140="N/A"),"N/A",ROUND(S140/O140*100,1))</f>
      </c>
      <c r="W140">
        <f>IF(COUNT(T140:V140)&gt;0,ROUND(AVERAGE(T140:V140),1),"N/A")</f>
      </c>
      <c r="X140" t="str">
        <v>Kỳ 2 (Kỳ hiện tại)</v>
      </c>
    </row>
    <row r="141">
      <c r="A141">
        <v>140</v>
      </c>
      <c r="B141" t="str">
        <v>NHTC</v>
      </c>
      <c r="C141" t="str">
        <v>Ngân hàng - Tài chính (NHTC)</v>
      </c>
      <c r="D141" t="str">
        <v>Cử nhân cấp bằng (Full 3-4 năm)</v>
      </c>
      <c r="E141" t="str">
        <v>BScBF I20</v>
      </c>
      <c r="F141" t="str">
        <v>Năm 3</v>
      </c>
      <c r="G141" t="str">
        <v>SEM 2</v>
      </c>
      <c r="H141" t="str">
        <v>UMET9W-30-2</v>
      </c>
      <c r="I141" t="str">
        <v>Econometric Analysis and Professional Advancement</v>
      </c>
      <c r="J141" t="str">
        <v>Trần Thị Bích Ngọc</v>
      </c>
      <c r="K141">
        <v>2</v>
      </c>
      <c r="L141">
        <v>35</v>
      </c>
      <c r="M141">
        <v>90</v>
      </c>
      <c r="N141">
        <v>85</v>
      </c>
      <c r="O141">
        <v>95</v>
      </c>
      <c r="P141">
        <v>0</v>
      </c>
      <c r="Q141">
        <v>0</v>
      </c>
      <c r="R141" t="str">
        <v>N/A</v>
      </c>
      <c r="S141">
        <v>0</v>
      </c>
      <c r="T141">
        <f>IF(OR(M141="N/A",P141="N/A"),"N/A",ROUND(P141/M141*100,1))</f>
      </c>
      <c r="U141">
        <f>IF(OR(N141="N/A",Q141="N/A"),"N/A",ROUND(IF(Q141/N141&gt;=1,Q141/N141,MIN(1,(Q141/N141)+(IF(OR(R141="N/A",R141=""),0,R141/N141))))*100,1))</f>
      </c>
      <c r="V141">
        <f>IF(OR(O141="N/A",S141="N/A"),"N/A",ROUND(S141/O141*100,1))</f>
      </c>
      <c r="W141">
        <f>IF(COUNT(T141:V141)&gt;0,ROUND(AVERAGE(T141:V141),1),"N/A")</f>
      </c>
      <c r="X141" t="str">
        <v>Kỳ 2 (Kỳ hiện tại)</v>
      </c>
    </row>
    <row r="142">
      <c r="A142">
        <v>141</v>
      </c>
      <c r="B142" t="str">
        <v>NHTC</v>
      </c>
      <c r="C142" t="str">
        <v>Ngân hàng - Tài chính (NHTC)</v>
      </c>
      <c r="D142" t="str">
        <v>Cử nhân cấp bằng (Full 3-4 năm)</v>
      </c>
      <c r="E142" t="str">
        <v>BScBF I20</v>
      </c>
      <c r="F142" t="str">
        <v>Năm 3</v>
      </c>
      <c r="G142" t="str">
        <v>SEM 2</v>
      </c>
      <c r="H142" t="str">
        <v>UMET9X-15-2</v>
      </c>
      <c r="I142" t="str">
        <v>(Opt 2) CyFi: Cyber and Financial Crime</v>
      </c>
      <c r="J142" t="str">
        <v>Trần Thị Bích Ngọc</v>
      </c>
      <c r="K142">
        <v>2</v>
      </c>
      <c r="L142">
        <v>35</v>
      </c>
      <c r="M142">
        <v>90</v>
      </c>
      <c r="N142">
        <v>85</v>
      </c>
      <c r="O142">
        <v>95</v>
      </c>
      <c r="P142">
        <v>0</v>
      </c>
      <c r="Q142">
        <v>0</v>
      </c>
      <c r="R142" t="str">
        <v>N/A</v>
      </c>
      <c r="S142">
        <v>0</v>
      </c>
      <c r="T142">
        <f>IF(OR(M142="N/A",P142="N/A"),"N/A",ROUND(P142/M142*100,1))</f>
      </c>
      <c r="U142">
        <f>IF(OR(N142="N/A",Q142="N/A"),"N/A",ROUND(IF(Q142/N142&gt;=1,Q142/N142,MIN(1,(Q142/N142)+(IF(OR(R142="N/A",R142=""),0,R142/N142))))*100,1))</f>
      </c>
      <c r="V142">
        <f>IF(OR(O142="N/A",S142="N/A"),"N/A",ROUND(S142/O142*100,1))</f>
      </c>
      <c r="W142">
        <f>IF(COUNT(T142:V142)&gt;0,ROUND(AVERAGE(T142:V142),1),"N/A")</f>
      </c>
      <c r="X142" t="str">
        <v>Kỳ 2 (Kỳ hiện tại)</v>
      </c>
    </row>
    <row r="143">
      <c r="A143">
        <v>142</v>
      </c>
      <c r="B143" t="str">
        <v>NHTC</v>
      </c>
      <c r="C143" t="str">
        <v>Ngân hàng - Tài chính (NHTC)</v>
      </c>
      <c r="D143" t="str">
        <v>Cử nhân cấp bằng (Full 3-4 năm)</v>
      </c>
      <c r="E143" t="str">
        <v>BScBF I20</v>
      </c>
      <c r="F143" t="str">
        <v>Năm 3</v>
      </c>
      <c r="G143" t="str">
        <v>SEM 2</v>
      </c>
      <c r="H143" t="str">
        <v>UMET9Y-15-2</v>
      </c>
      <c r="I143" t="str">
        <v>(Opt 1) Corporate Finance</v>
      </c>
      <c r="J143" t="str">
        <v>Trần Thị Bích Ngọc</v>
      </c>
      <c r="K143">
        <v>2</v>
      </c>
      <c r="L143">
        <v>35</v>
      </c>
      <c r="M143">
        <v>90</v>
      </c>
      <c r="N143">
        <v>85</v>
      </c>
      <c r="O143">
        <v>95</v>
      </c>
      <c r="P143">
        <v>0</v>
      </c>
      <c r="Q143">
        <v>0</v>
      </c>
      <c r="R143" t="str">
        <v>N/A</v>
      </c>
      <c r="S143">
        <v>0</v>
      </c>
      <c r="T143">
        <f>IF(OR(M143="N/A",P143="N/A"),"N/A",ROUND(P143/M143*100,1))</f>
      </c>
      <c r="U143">
        <f>IF(OR(N143="N/A",Q143="N/A"),"N/A",ROUND(IF(Q143/N143&gt;=1,Q143/N143,MIN(1,(Q143/N143)+(IF(OR(R143="N/A",R143=""),0,R143/N143))))*100,1))</f>
      </c>
      <c r="V143">
        <f>IF(OR(O143="N/A",S143="N/A"),"N/A",ROUND(S143/O143*100,1))</f>
      </c>
      <c r="W143">
        <f>IF(COUNT(T143:V143)&gt;0,ROUND(AVERAGE(T143:V143),1),"N/A")</f>
      </c>
      <c r="X143" t="str">
        <v>Kỳ 2 (Kỳ hiện tại)</v>
      </c>
    </row>
    <row r="144">
      <c r="A144">
        <v>143</v>
      </c>
      <c r="B144" t="str">
        <v>NHTC</v>
      </c>
      <c r="C144" t="str">
        <v>Ngân hàng - Tài chính (NHTC)</v>
      </c>
      <c r="D144" t="str">
        <v>Cử nhân cấp bằng (Full 3-4 năm)</v>
      </c>
      <c r="E144" t="str">
        <v>BScBF I20</v>
      </c>
      <c r="F144" t="str">
        <v>Năm 4</v>
      </c>
      <c r="G144" t="str">
        <v>SEM 1</v>
      </c>
      <c r="H144" t="str">
        <v>UMAD5R-15-3</v>
      </c>
      <c r="I144" t="str">
        <v>(Opt 1) Personal Financial Planning</v>
      </c>
      <c r="J144" t="str">
        <v>Trần Thị Bích Ngọc</v>
      </c>
      <c r="K144">
        <v>2</v>
      </c>
      <c r="L144">
        <v>35</v>
      </c>
      <c r="M144">
        <v>90</v>
      </c>
      <c r="N144">
        <v>85</v>
      </c>
      <c r="O144">
        <v>100</v>
      </c>
      <c r="P144">
        <v>0</v>
      </c>
      <c r="Q144">
        <v>0</v>
      </c>
      <c r="R144" t="str">
        <v>N/A</v>
      </c>
      <c r="S144">
        <v>0</v>
      </c>
      <c r="T144">
        <f>IF(OR(M144="N/A",P144="N/A"),"N/A",ROUND(P144/M144*100,1))</f>
      </c>
      <c r="U144">
        <f>IF(OR(N144="N/A",Q144="N/A"),"N/A",ROUND(IF(Q144/N144&gt;=1,Q144/N144,MIN(1,(Q144/N144)+(IF(OR(R144="N/A",R144=""),0,R144/N144))))*100,1))</f>
      </c>
      <c r="V144">
        <f>IF(OR(O144="N/A",S144="N/A"),"N/A",ROUND(S144/O144*100,1))</f>
      </c>
      <c r="W144">
        <f>IF(COUNT(T144:V144)&gt;0,ROUND(AVERAGE(T144:V144),1),"N/A")</f>
      </c>
      <c r="X144" t="str">
        <v>Kỳ học theo khóa</v>
      </c>
    </row>
    <row r="145">
      <c r="A145">
        <v>144</v>
      </c>
      <c r="B145" t="str">
        <v>NHTC</v>
      </c>
      <c r="C145" t="str">
        <v>Ngân hàng - Tài chính (NHTC)</v>
      </c>
      <c r="D145" t="str">
        <v>Cử nhân cấp bằng (Full 3-4 năm)</v>
      </c>
      <c r="E145" t="str">
        <v>BScBF I18</v>
      </c>
      <c r="F145" t="str">
        <v>Năm 4</v>
      </c>
      <c r="G145" t="str">
        <v>SEM 1</v>
      </c>
      <c r="H145" t="str">
        <v>UMAD5W-15-3</v>
      </c>
      <c r="I145" t="str">
        <v>Credit Risk Analysis and Management</v>
      </c>
      <c r="J145" t="str">
        <v>Trần Thị Bích Ngọc</v>
      </c>
      <c r="K145">
        <v>1</v>
      </c>
      <c r="L145">
        <v>9</v>
      </c>
      <c r="M145">
        <v>90</v>
      </c>
      <c r="N145">
        <v>85</v>
      </c>
      <c r="O145">
        <v>100</v>
      </c>
      <c r="P145">
        <v>95</v>
      </c>
      <c r="Q145">
        <v>90</v>
      </c>
      <c r="R145" t="str">
        <v>N/A</v>
      </c>
      <c r="S145">
        <v>98</v>
      </c>
      <c r="T145">
        <f>IF(OR(M145="N/A",P145="N/A"),"N/A",ROUND(P145/M145*100,1))</f>
      </c>
      <c r="U145">
        <f>IF(OR(N145="N/A",Q145="N/A"),"N/A",ROUND(IF(Q145/N145&gt;=1,Q145/N145,MIN(1,(Q145/N145)+(IF(OR(R145="N/A",R145=""),0,R145/N145))))*100,1))</f>
      </c>
      <c r="V145">
        <f>IF(OR(O145="N/A",S145="N/A"),"N/A",ROUND(S145/O145*100,1))</f>
      </c>
      <c r="W145">
        <f>IF(COUNT(T145:V145)&gt;0,ROUND(AVERAGE(T145:V145),1),"N/A")</f>
      </c>
      <c r="X145" t="str">
        <v>Kỳ học theo khóa</v>
      </c>
    </row>
    <row r="146">
      <c r="A146">
        <v>145</v>
      </c>
      <c r="B146" t="str">
        <v>NHTC</v>
      </c>
      <c r="C146" t="str">
        <v>Ngân hàng - Tài chính (NHTC)</v>
      </c>
      <c r="D146" t="str">
        <v>Cử nhân cấp bằng (Full 3-4 năm)</v>
      </c>
      <c r="E146" t="str">
        <v>BScBF I18</v>
      </c>
      <c r="F146" t="str">
        <v>Năm 4</v>
      </c>
      <c r="G146" t="str">
        <v>SEM 1</v>
      </c>
      <c r="H146" t="str">
        <v>UMED8Y-30-3</v>
      </c>
      <c r="I146" t="str">
        <v>Project</v>
      </c>
      <c r="J146" t="str">
        <v>Trần Thị Bích Ngọc</v>
      </c>
      <c r="K146">
        <v>1</v>
      </c>
      <c r="L146">
        <v>9</v>
      </c>
      <c r="M146" t="str">
        <v>N/A</v>
      </c>
      <c r="N146">
        <v>85</v>
      </c>
      <c r="O146">
        <v>100</v>
      </c>
      <c r="P146" t="str">
        <v>N/A</v>
      </c>
      <c r="Q146">
        <v>95</v>
      </c>
      <c r="R146" t="str">
        <v>N/A</v>
      </c>
      <c r="S146">
        <v>98</v>
      </c>
      <c r="T146">
        <f>IF(OR(M146="N/A",P146="N/A"),"N/A",ROUND(P146/M146*100,1))</f>
      </c>
      <c r="U146">
        <f>IF(OR(N146="N/A",Q146="N/A"),"N/A",ROUND(IF(Q146/N146&gt;=1,Q146/N146,MIN(1,(Q146/N146)+(IF(OR(R146="N/A",R146=""),0,R146/N146))))*100,1))</f>
      </c>
      <c r="V146">
        <f>IF(OR(O146="N/A",S146="N/A"),"N/A",ROUND(S146/O146*100,1))</f>
      </c>
      <c r="W146">
        <f>IF(COUNT(T146:V146)&gt;0,ROUND(AVERAGE(T146:V146),1),"N/A")</f>
      </c>
      <c r="X146" t="str">
        <v>Kỳ học theo khóa</v>
      </c>
    </row>
    <row r="147">
      <c r="A147">
        <v>146</v>
      </c>
      <c r="B147" t="str">
        <v>NHTC</v>
      </c>
      <c r="C147" t="str">
        <v>Ngân hàng - Tài chính (NHTC)</v>
      </c>
      <c r="D147" t="str">
        <v>Cử nhân cấp bằng (Full 3-4 năm)</v>
      </c>
      <c r="E147" t="str">
        <v>BScBF I18</v>
      </c>
      <c r="F147" t="str">
        <v>Năm 4</v>
      </c>
      <c r="G147" t="str">
        <v>SEM 1</v>
      </c>
      <c r="H147" t="str">
        <v>UMED96-15-3</v>
      </c>
      <c r="I147" t="str">
        <v>Econometrics</v>
      </c>
      <c r="J147" t="str">
        <v>Trần Thị Bích Ngọc</v>
      </c>
      <c r="K147">
        <v>1</v>
      </c>
      <c r="L147">
        <v>9</v>
      </c>
      <c r="M147">
        <v>90</v>
      </c>
      <c r="N147">
        <v>85</v>
      </c>
      <c r="O147">
        <v>100</v>
      </c>
      <c r="P147">
        <v>95</v>
      </c>
      <c r="Q147">
        <v>90</v>
      </c>
      <c r="R147" t="str">
        <v>N/A</v>
      </c>
      <c r="S147">
        <v>98</v>
      </c>
      <c r="T147">
        <f>IF(OR(M147="N/A",P147="N/A"),"N/A",ROUND(P147/M147*100,1))</f>
      </c>
      <c r="U147">
        <f>IF(OR(N147="N/A",Q147="N/A"),"N/A",ROUND(IF(Q147/N147&gt;=1,Q147/N147,MIN(1,(Q147/N147)+(IF(OR(R147="N/A",R147=""),0,R147/N147))))*100,1))</f>
      </c>
      <c r="V147">
        <f>IF(OR(O147="N/A",S147="N/A"),"N/A",ROUND(S147/O147*100,1))</f>
      </c>
      <c r="W147">
        <f>IF(COUNT(T147:V147)&gt;0,ROUND(AVERAGE(T147:V147),1),"N/A")</f>
      </c>
      <c r="X147" t="str">
        <v>Kỳ học theo khóa</v>
      </c>
    </row>
    <row r="148">
      <c r="A148">
        <v>147</v>
      </c>
      <c r="B148" t="str">
        <v>NHTC</v>
      </c>
      <c r="C148" t="str">
        <v>Ngân hàng - Tài chính (NHTC)</v>
      </c>
      <c r="D148" t="str">
        <v>Cử nhân cấp bằng (Full 3-4 năm)</v>
      </c>
      <c r="E148" t="str">
        <v>BScBF I18</v>
      </c>
      <c r="F148" t="str">
        <v>Năm 4</v>
      </c>
      <c r="G148" t="str">
        <v>SEM 1</v>
      </c>
      <c r="H148" t="str">
        <v>UMEDFT-30-3</v>
      </c>
      <c r="I148" t="str">
        <v>Contemporary Issues in Banking and Finance</v>
      </c>
      <c r="J148" t="str">
        <v>Trần Thị Bích Ngọc</v>
      </c>
      <c r="K148">
        <v>1</v>
      </c>
      <c r="L148">
        <v>9</v>
      </c>
      <c r="M148">
        <v>90</v>
      </c>
      <c r="N148">
        <v>85</v>
      </c>
      <c r="O148">
        <v>100</v>
      </c>
      <c r="P148">
        <v>95</v>
      </c>
      <c r="Q148">
        <v>92</v>
      </c>
      <c r="R148" t="str">
        <v>N/A</v>
      </c>
      <c r="S148">
        <v>98</v>
      </c>
      <c r="T148">
        <f>IF(OR(M148="N/A",P148="N/A"),"N/A",ROUND(P148/M148*100,1))</f>
      </c>
      <c r="U148">
        <f>IF(OR(N148="N/A",Q148="N/A"),"N/A",ROUND(IF(Q148/N148&gt;=1,Q148/N148,MIN(1,(Q148/N148)+(IF(OR(R148="N/A",R148=""),0,R148/N148))))*100,1))</f>
      </c>
      <c r="V148">
        <f>IF(OR(O148="N/A",S148="N/A"),"N/A",ROUND(S148/O148*100,1))</f>
      </c>
      <c r="W148">
        <f>IF(COUNT(T148:V148)&gt;0,ROUND(AVERAGE(T148:V148),1),"N/A")</f>
      </c>
      <c r="X148" t="str">
        <v>Kỳ học theo khóa</v>
      </c>
    </row>
    <row r="149">
      <c r="A149">
        <v>148</v>
      </c>
      <c r="B149" t="str">
        <v>NHTC</v>
      </c>
      <c r="C149" t="str">
        <v>Ngân hàng - Tài chính (NHTC)</v>
      </c>
      <c r="D149" t="str">
        <v>Cử nhân cấp bằng (Full 3-4 năm)</v>
      </c>
      <c r="E149" t="str">
        <v>BScBF I20</v>
      </c>
      <c r="F149" t="str">
        <v>Năm 4</v>
      </c>
      <c r="G149" t="str">
        <v>SEM 1</v>
      </c>
      <c r="H149" t="str">
        <v>UMEDFT-30-3</v>
      </c>
      <c r="I149" t="str">
        <v>Contemporary Issues in Banking and Finance</v>
      </c>
      <c r="J149" t="str">
        <v>Trần Thị Bích Ngọc</v>
      </c>
      <c r="K149">
        <v>2</v>
      </c>
      <c r="L149">
        <v>35</v>
      </c>
      <c r="M149">
        <v>90</v>
      </c>
      <c r="N149">
        <v>85</v>
      </c>
      <c r="O149">
        <v>100</v>
      </c>
      <c r="P149">
        <v>0</v>
      </c>
      <c r="Q149">
        <v>0</v>
      </c>
      <c r="R149" t="str">
        <v>N/A</v>
      </c>
      <c r="S149">
        <v>0</v>
      </c>
      <c r="T149">
        <f>IF(OR(M149="N/A",P149="N/A"),"N/A",ROUND(P149/M149*100,1))</f>
      </c>
      <c r="U149">
        <f>IF(OR(N149="N/A",Q149="N/A"),"N/A",ROUND(IF(Q149/N149&gt;=1,Q149/N149,MIN(1,(Q149/N149)+(IF(OR(R149="N/A",R149=""),0,R149/N149))))*100,1))</f>
      </c>
      <c r="V149">
        <f>IF(OR(O149="N/A",S149="N/A"),"N/A",ROUND(S149/O149*100,1))</f>
      </c>
      <c r="W149">
        <f>IF(COUNT(T149:V149)&gt;0,ROUND(AVERAGE(T149:V149),1),"N/A")</f>
      </c>
      <c r="X149" t="str">
        <v>Kỳ học theo khóa</v>
      </c>
    </row>
    <row r="150">
      <c r="A150">
        <v>149</v>
      </c>
      <c r="B150" t="str">
        <v>NHTC</v>
      </c>
      <c r="C150" t="str">
        <v>Ngân hàng - Tài chính (NHTC)</v>
      </c>
      <c r="D150" t="str">
        <v>Cử nhân cấp bằng (Full 3-4 năm)</v>
      </c>
      <c r="E150" t="str">
        <v>BScBF I20</v>
      </c>
      <c r="F150" t="str">
        <v>Năm 4</v>
      </c>
      <c r="G150" t="str">
        <v>SEM 1</v>
      </c>
      <c r="H150" t="str">
        <v>UMETH5-30-3</v>
      </c>
      <c r="I150" t="str">
        <v>Research in Banking and Finance</v>
      </c>
      <c r="J150" t="str">
        <v>Trần Thị Bích Ngọc</v>
      </c>
      <c r="K150">
        <v>2</v>
      </c>
      <c r="L150">
        <v>35</v>
      </c>
      <c r="M150">
        <v>90</v>
      </c>
      <c r="N150">
        <v>85</v>
      </c>
      <c r="O150">
        <v>100</v>
      </c>
      <c r="P150">
        <v>0</v>
      </c>
      <c r="Q150">
        <v>0</v>
      </c>
      <c r="R150" t="str">
        <v>N/A</v>
      </c>
      <c r="S150">
        <v>0</v>
      </c>
      <c r="T150">
        <f>IF(OR(M150="N/A",P150="N/A"),"N/A",ROUND(P150/M150*100,1))</f>
      </c>
      <c r="U150">
        <f>IF(OR(N150="N/A",Q150="N/A"),"N/A",ROUND(IF(Q150/N150&gt;=1,Q150/N150,MIN(1,(Q150/N150)+(IF(OR(R150="N/A",R150=""),0,R150/N150))))*100,1))</f>
      </c>
      <c r="V150">
        <f>IF(OR(O150="N/A",S150="N/A"),"N/A",ROUND(S150/O150*100,1))</f>
      </c>
      <c r="W150">
        <f>IF(COUNT(T150:V150)&gt;0,ROUND(AVERAGE(T150:V150),1),"N/A")</f>
      </c>
      <c r="X150" t="str">
        <v>Kỳ học theo khóa</v>
      </c>
    </row>
    <row r="151">
      <c r="A151">
        <v>150</v>
      </c>
      <c r="B151" t="str">
        <v>NHTC</v>
      </c>
      <c r="C151" t="str">
        <v>Ngân hàng - Tài chính (NHTC)</v>
      </c>
      <c r="D151" t="str">
        <v>Cử nhân cấp bằng (Full 3-4 năm)</v>
      </c>
      <c r="E151" t="str">
        <v>BScBF I20</v>
      </c>
      <c r="F151" t="str">
        <v>Năm 4</v>
      </c>
      <c r="G151" t="str">
        <v>SEM 1</v>
      </c>
      <c r="H151" t="str">
        <v>UMETH6-30-3</v>
      </c>
      <c r="I151" t="str">
        <v>Portfolio Management with Professional Practice</v>
      </c>
      <c r="J151" t="str">
        <v>Trần Thị Bích Ngọc</v>
      </c>
      <c r="K151">
        <v>2</v>
      </c>
      <c r="L151">
        <v>35</v>
      </c>
      <c r="M151">
        <v>90</v>
      </c>
      <c r="N151">
        <v>85</v>
      </c>
      <c r="O151">
        <v>100</v>
      </c>
      <c r="P151">
        <v>0</v>
      </c>
      <c r="Q151">
        <v>0</v>
      </c>
      <c r="R151" t="str">
        <v>N/A</v>
      </c>
      <c r="S151">
        <v>0</v>
      </c>
      <c r="T151">
        <f>IF(OR(M151="N/A",P151="N/A"),"N/A",ROUND(P151/M151*100,1))</f>
      </c>
      <c r="U151">
        <f>IF(OR(N151="N/A",Q151="N/A"),"N/A",ROUND(IF(Q151/N151&gt;=1,Q151/N151,MIN(1,(Q151/N151)+(IF(OR(R151="N/A",R151=""),0,R151/N151))))*100,1))</f>
      </c>
      <c r="V151">
        <f>IF(OR(O151="N/A",S151="N/A"),"N/A",ROUND(S151/O151*100,1))</f>
      </c>
      <c r="W151">
        <f>IF(COUNT(T151:V151)&gt;0,ROUND(AVERAGE(T151:V151),1),"N/A")</f>
      </c>
      <c r="X151" t="str">
        <v>Kỳ học theo khóa</v>
      </c>
    </row>
    <row r="152">
      <c r="A152">
        <v>151</v>
      </c>
      <c r="B152" t="str">
        <v>NHTC</v>
      </c>
      <c r="C152" t="str">
        <v>Ngân hàng - Tài chính (NHTC)</v>
      </c>
      <c r="D152" t="str">
        <v>Cử nhân cấp bằng (Full 3-4 năm)</v>
      </c>
      <c r="E152" t="str">
        <v>BScBF I20</v>
      </c>
      <c r="F152" t="str">
        <v>Năm 4</v>
      </c>
      <c r="G152" t="str">
        <v>SEM 1</v>
      </c>
      <c r="H152" t="str">
        <v>UMETH8-15-3</v>
      </c>
      <c r="I152" t="str">
        <v>(Opt 2) Programming Economic and Financial Models</v>
      </c>
      <c r="J152" t="str">
        <v>Trần Thị Bích Ngọc</v>
      </c>
      <c r="K152">
        <v>2</v>
      </c>
      <c r="L152">
        <v>35</v>
      </c>
      <c r="M152">
        <v>90</v>
      </c>
      <c r="N152">
        <v>85</v>
      </c>
      <c r="O152">
        <v>100</v>
      </c>
      <c r="P152">
        <v>0</v>
      </c>
      <c r="Q152">
        <v>0</v>
      </c>
      <c r="R152" t="str">
        <v>N/A</v>
      </c>
      <c r="S152">
        <v>0</v>
      </c>
      <c r="T152">
        <f>IF(OR(M152="N/A",P152="N/A"),"N/A",ROUND(P152/M152*100,1))</f>
      </c>
      <c r="U152">
        <f>IF(OR(N152="N/A",Q152="N/A"),"N/A",ROUND(IF(Q152/N152&gt;=1,Q152/N152,MIN(1,(Q152/N152)+(IF(OR(R152="N/A",R152=""),0,R152/N152))))*100,1))</f>
      </c>
      <c r="V152">
        <f>IF(OR(O152="N/A",S152="N/A"),"N/A",ROUND(S152/O152*100,1))</f>
      </c>
      <c r="W152">
        <f>IF(COUNT(T152:V152)&gt;0,ROUND(AVERAGE(T152:V152),1),"N/A")</f>
      </c>
      <c r="X152" t="str">
        <v>Kỳ học theo khóa</v>
      </c>
    </row>
    <row r="153">
      <c r="A153">
        <v>152</v>
      </c>
      <c r="B153" t="str">
        <v>NHTC</v>
      </c>
      <c r="C153" t="str">
        <v>Ngân hàng - Tài chính (NHTC)</v>
      </c>
      <c r="D153" t="str">
        <v>Cử nhân cấp bằng (Full 3-4 năm)</v>
      </c>
      <c r="E153" t="str">
        <v>BScBF I18</v>
      </c>
      <c r="F153" t="str">
        <v>Năm 4</v>
      </c>
      <c r="G153" t="str">
        <v>SEM 2</v>
      </c>
      <c r="H153" t="str">
        <v>UMAD5X-15-3</v>
      </c>
      <c r="I153" t="str">
        <v>Investment Management</v>
      </c>
      <c r="J153" t="str">
        <v>Trần Thị Bích Ngọc</v>
      </c>
      <c r="K153">
        <v>1</v>
      </c>
      <c r="L153">
        <v>9</v>
      </c>
      <c r="M153">
        <v>90</v>
      </c>
      <c r="N153">
        <v>85</v>
      </c>
      <c r="O153">
        <v>100</v>
      </c>
      <c r="P153">
        <v>100</v>
      </c>
      <c r="Q153">
        <v>88</v>
      </c>
      <c r="R153" t="str">
        <v>N/A</v>
      </c>
      <c r="S153">
        <v>100</v>
      </c>
      <c r="T153">
        <f>IF(OR(M153="N/A",P153="N/A"),"N/A",ROUND(P153/M153*100,1))</f>
      </c>
      <c r="U153">
        <f>IF(OR(N153="N/A",Q153="N/A"),"N/A",ROUND(IF(Q153/N153&gt;=1,Q153/N153,MIN(1,(Q153/N153)+(IF(OR(R153="N/A",R153=""),0,R153/N153))))*100,1))</f>
      </c>
      <c r="V153">
        <f>IF(OR(O153="N/A",S153="N/A"),"N/A",ROUND(S153/O153*100,1))</f>
      </c>
      <c r="W153">
        <f>IF(COUNT(T153:V153)&gt;0,ROUND(AVERAGE(T153:V153),1),"N/A")</f>
      </c>
      <c r="X153" t="str">
        <v>Kỳ 2 (Kỳ hiện tại)</v>
      </c>
    </row>
    <row r="154">
      <c r="A154">
        <v>153</v>
      </c>
      <c r="B154" t="str">
        <v>NHTC</v>
      </c>
      <c r="C154" t="str">
        <v>Ngân hàng - Tài chính (NHTC)</v>
      </c>
      <c r="D154" t="str">
        <v>Cử nhân cấp bằng (Full 3-4 năm)</v>
      </c>
      <c r="E154" t="str">
        <v>BScBF I18</v>
      </c>
      <c r="F154" t="str">
        <v>Năm 4</v>
      </c>
      <c r="G154" t="str">
        <v>SEM 2</v>
      </c>
      <c r="H154" t="str">
        <v>UMED8V-15-3</v>
      </c>
      <c r="I154" t="str">
        <v>Economics of International Financial Markets</v>
      </c>
      <c r="J154" t="str">
        <v>Trần Thị Bích Ngọc</v>
      </c>
      <c r="K154">
        <v>1</v>
      </c>
      <c r="L154">
        <v>9</v>
      </c>
      <c r="M154">
        <v>90</v>
      </c>
      <c r="N154">
        <v>85</v>
      </c>
      <c r="O154">
        <v>100</v>
      </c>
      <c r="P154">
        <v>97</v>
      </c>
      <c r="Q154">
        <v>100</v>
      </c>
      <c r="R154" t="str">
        <v>N/A</v>
      </c>
      <c r="S154">
        <v>100</v>
      </c>
      <c r="T154">
        <f>IF(OR(M154="N/A",P154="N/A"),"N/A",ROUND(P154/M154*100,1))</f>
      </c>
      <c r="U154">
        <f>IF(OR(N154="N/A",Q154="N/A"),"N/A",ROUND(IF(Q154/N154&gt;=1,Q154/N154,MIN(1,(Q154/N154)+(IF(OR(R154="N/A",R154=""),0,R154/N154))))*100,1))</f>
      </c>
      <c r="V154">
        <f>IF(OR(O154="N/A",S154="N/A"),"N/A",ROUND(S154/O154*100,1))</f>
      </c>
      <c r="W154">
        <f>IF(COUNT(T154:V154)&gt;0,ROUND(AVERAGE(T154:V154),1),"N/A")</f>
      </c>
      <c r="X154" t="str">
        <v>Kỳ 2 (Kỳ hiện tại)</v>
      </c>
    </row>
    <row r="155">
      <c r="A155">
        <v>154</v>
      </c>
      <c r="B155" t="str">
        <v>NHTC</v>
      </c>
      <c r="C155" t="str">
        <v>Ngân hàng - Tài chính (NHTC)</v>
      </c>
      <c r="D155" t="str">
        <v>Cử nhân cấp bằng (Full 3-4 năm)</v>
      </c>
      <c r="E155" t="str">
        <v>BScBF I18</v>
      </c>
      <c r="F155" t="str">
        <v>Năm 4</v>
      </c>
      <c r="G155" t="str">
        <v>SEM 2</v>
      </c>
      <c r="H155" t="str">
        <v>UMED8Y-30-3</v>
      </c>
      <c r="I155" t="str">
        <v>Project</v>
      </c>
      <c r="J155" t="str">
        <v>Trần Thị Bích Ngọc</v>
      </c>
      <c r="K155">
        <v>1</v>
      </c>
      <c r="L155">
        <v>9</v>
      </c>
      <c r="M155" t="str">
        <v>N/A</v>
      </c>
      <c r="N155">
        <v>85</v>
      </c>
      <c r="O155">
        <v>100</v>
      </c>
      <c r="P155" t="str">
        <v>N/A</v>
      </c>
      <c r="Q155">
        <v>97</v>
      </c>
      <c r="R155" t="str">
        <v>N/A</v>
      </c>
      <c r="S155">
        <v>100</v>
      </c>
      <c r="T155">
        <f>IF(OR(M155="N/A",P155="N/A"),"N/A",ROUND(P155/M155*100,1))</f>
      </c>
      <c r="U155">
        <f>IF(OR(N155="N/A",Q155="N/A"),"N/A",ROUND(IF(Q155/N155&gt;=1,Q155/N155,MIN(1,(Q155/N155)+(IF(OR(R155="N/A",R155=""),0,R155/N155))))*100,1))</f>
      </c>
      <c r="V155">
        <f>IF(OR(O155="N/A",S155="N/A"),"N/A",ROUND(S155/O155*100,1))</f>
      </c>
      <c r="W155">
        <f>IF(COUNT(T155:V155)&gt;0,ROUND(AVERAGE(T155:V155),1),"N/A")</f>
      </c>
      <c r="X155" t="str">
        <v>Kỳ 2 (Kỳ hiện tại)</v>
      </c>
    </row>
    <row r="156">
      <c r="A156">
        <v>155</v>
      </c>
      <c r="B156" t="str">
        <v>NHTC</v>
      </c>
      <c r="C156" t="str">
        <v>Ngân hàng - Tài chính (NHTC)</v>
      </c>
      <c r="D156" t="str">
        <v>Cử nhân cấp bằng (Full 3-4 năm)</v>
      </c>
      <c r="E156" t="str">
        <v>BScBF I18</v>
      </c>
      <c r="F156" t="str">
        <v>Năm 4</v>
      </c>
      <c r="G156" t="str">
        <v>SEM 2</v>
      </c>
      <c r="H156" t="str">
        <v>UMEDFT-30-3</v>
      </c>
      <c r="I156" t="str">
        <v>Contemporary Issues in Banking and Finance</v>
      </c>
      <c r="J156" t="str">
        <v>Trần Thị Bích Ngọc</v>
      </c>
      <c r="K156">
        <v>1</v>
      </c>
      <c r="L156">
        <v>9</v>
      </c>
      <c r="M156">
        <v>90</v>
      </c>
      <c r="N156">
        <v>85</v>
      </c>
      <c r="O156">
        <v>100</v>
      </c>
      <c r="P156">
        <v>94</v>
      </c>
      <c r="Q156">
        <v>94</v>
      </c>
      <c r="R156" t="str">
        <v>N/A</v>
      </c>
      <c r="S156">
        <v>100</v>
      </c>
      <c r="T156">
        <f>IF(OR(M156="N/A",P156="N/A"),"N/A",ROUND(P156/M156*100,1))</f>
      </c>
      <c r="U156">
        <f>IF(OR(N156="N/A",Q156="N/A"),"N/A",ROUND(IF(Q156/N156&gt;=1,Q156/N156,MIN(1,(Q156/N156)+(IF(OR(R156="N/A",R156=""),0,R156/N156))))*100,1))</f>
      </c>
      <c r="V156">
        <f>IF(OR(O156="N/A",S156="N/A"),"N/A",ROUND(S156/O156*100,1))</f>
      </c>
      <c r="W156">
        <f>IF(COUNT(T156:V156)&gt;0,ROUND(AVERAGE(T156:V156),1),"N/A")</f>
      </c>
      <c r="X156" t="str">
        <v>Kỳ 2 (Kỳ hiện tại)</v>
      </c>
    </row>
    <row r="157">
      <c r="A157">
        <v>156</v>
      </c>
      <c r="B157" t="str">
        <v>NHTC</v>
      </c>
      <c r="C157" t="str">
        <v>Ngân hàng - Tài chính (NHTC)</v>
      </c>
      <c r="D157" t="str">
        <v>Cử nhân cấp bằng (Full 3-4 năm)</v>
      </c>
      <c r="E157" t="str">
        <v>BScBF I20</v>
      </c>
      <c r="F157" t="str">
        <v>Năm 4</v>
      </c>
      <c r="G157" t="str">
        <v>SEM 2</v>
      </c>
      <c r="H157" t="str">
        <v>UMEDFT-30-3</v>
      </c>
      <c r="I157" t="str">
        <v>Contemporary Issues in Banking and Finance</v>
      </c>
      <c r="J157" t="str">
        <v>Trần Thị Bích Ngọc</v>
      </c>
      <c r="K157">
        <v>2</v>
      </c>
      <c r="L157">
        <v>35</v>
      </c>
      <c r="M157">
        <v>90</v>
      </c>
      <c r="N157">
        <v>85</v>
      </c>
      <c r="O157">
        <v>100</v>
      </c>
      <c r="P157">
        <v>0</v>
      </c>
      <c r="Q157">
        <v>0</v>
      </c>
      <c r="R157" t="str">
        <v>N/A</v>
      </c>
      <c r="S157">
        <v>0</v>
      </c>
      <c r="T157">
        <f>IF(OR(M157="N/A",P157="N/A"),"N/A",ROUND(P157/M157*100,1))</f>
      </c>
      <c r="U157">
        <f>IF(OR(N157="N/A",Q157="N/A"),"N/A",ROUND(IF(Q157/N157&gt;=1,Q157/N157,MIN(1,(Q157/N157)+(IF(OR(R157="N/A",R157=""),0,R157/N157))))*100,1))</f>
      </c>
      <c r="V157">
        <f>IF(OR(O157="N/A",S157="N/A"),"N/A",ROUND(S157/O157*100,1))</f>
      </c>
      <c r="W157">
        <f>IF(COUNT(T157:V157)&gt;0,ROUND(AVERAGE(T157:V157),1),"N/A")</f>
      </c>
      <c r="X157" t="str">
        <v>Kỳ 2 (Kỳ hiện tại)</v>
      </c>
    </row>
    <row r="158">
      <c r="A158">
        <v>157</v>
      </c>
      <c r="B158" t="str">
        <v>NHTC</v>
      </c>
      <c r="C158" t="str">
        <v>Ngân hàng - Tài chính (NHTC)</v>
      </c>
      <c r="D158" t="str">
        <v>Cử nhân cấp bằng (Full 3-4 năm)</v>
      </c>
      <c r="E158" t="str">
        <v>BScBF I20</v>
      </c>
      <c r="F158" t="str">
        <v>Năm 4</v>
      </c>
      <c r="G158" t="str">
        <v>SEM 2</v>
      </c>
      <c r="H158" t="str">
        <v>UMETAG-15-3</v>
      </c>
      <c r="I158" t="str">
        <v>(Opt 2) Risk Management and Derivatives</v>
      </c>
      <c r="J158" t="str">
        <v>Trần Thị Bích Ngọc</v>
      </c>
      <c r="K158">
        <v>2</v>
      </c>
      <c r="L158">
        <v>35</v>
      </c>
      <c r="M158">
        <v>90</v>
      </c>
      <c r="N158">
        <v>85</v>
      </c>
      <c r="O158">
        <v>100</v>
      </c>
      <c r="P158">
        <v>0</v>
      </c>
      <c r="Q158">
        <v>0</v>
      </c>
      <c r="R158" t="str">
        <v>N/A</v>
      </c>
      <c r="S158">
        <v>0</v>
      </c>
      <c r="T158">
        <f>IF(OR(M158="N/A",P158="N/A"),"N/A",ROUND(P158/M158*100,1))</f>
      </c>
      <c r="U158">
        <f>IF(OR(N158="N/A",Q158="N/A"),"N/A",ROUND(IF(Q158/N158&gt;=1,Q158/N158,MIN(1,(Q158/N158)+(IF(OR(R158="N/A",R158=""),0,R158/N158))))*100,1))</f>
      </c>
      <c r="V158">
        <f>IF(OR(O158="N/A",S158="N/A"),"N/A",ROUND(S158/O158*100,1))</f>
      </c>
      <c r="W158">
        <f>IF(COUNT(T158:V158)&gt;0,ROUND(AVERAGE(T158:V158),1),"N/A")</f>
      </c>
      <c r="X158" t="str">
        <v>Kỳ 2 (Kỳ hiện tại)</v>
      </c>
    </row>
    <row r="159">
      <c r="A159">
        <v>158</v>
      </c>
      <c r="B159" t="str">
        <v>NHTC</v>
      </c>
      <c r="C159" t="str">
        <v>Ngân hàng - Tài chính (NHTC)</v>
      </c>
      <c r="D159" t="str">
        <v>Cử nhân cấp bằng (Full 3-4 năm)</v>
      </c>
      <c r="E159" t="str">
        <v>BScBF I20</v>
      </c>
      <c r="F159" t="str">
        <v>Năm 4</v>
      </c>
      <c r="G159" t="str">
        <v>SEM 2</v>
      </c>
      <c r="H159" t="str">
        <v>UMETH5-30-3</v>
      </c>
      <c r="I159" t="str">
        <v>Research in Banking and Finance</v>
      </c>
      <c r="J159" t="str">
        <v>Trần Thị Bích Ngọc</v>
      </c>
      <c r="K159">
        <v>2</v>
      </c>
      <c r="L159">
        <v>35</v>
      </c>
      <c r="M159">
        <v>90</v>
      </c>
      <c r="N159">
        <v>85</v>
      </c>
      <c r="O159">
        <v>100</v>
      </c>
      <c r="P159">
        <v>0</v>
      </c>
      <c r="Q159">
        <v>0</v>
      </c>
      <c r="R159" t="str">
        <v>N/A</v>
      </c>
      <c r="S159">
        <v>0</v>
      </c>
      <c r="T159">
        <f>IF(OR(M159="N/A",P159="N/A"),"N/A",ROUND(P159/M159*100,1))</f>
      </c>
      <c r="U159">
        <f>IF(OR(N159="N/A",Q159="N/A"),"N/A",ROUND(IF(Q159/N159&gt;=1,Q159/N159,MIN(1,(Q159/N159)+(IF(OR(R159="N/A",R159=""),0,R159/N159))))*100,1))</f>
      </c>
      <c r="V159">
        <f>IF(OR(O159="N/A",S159="N/A"),"N/A",ROUND(S159/O159*100,1))</f>
      </c>
      <c r="W159">
        <f>IF(COUNT(T159:V159)&gt;0,ROUND(AVERAGE(T159:V159),1),"N/A")</f>
      </c>
      <c r="X159" t="str">
        <v>Kỳ 2 (Kỳ hiện tại)</v>
      </c>
    </row>
    <row r="160">
      <c r="A160">
        <v>159</v>
      </c>
      <c r="B160" t="str">
        <v>NHTC</v>
      </c>
      <c r="C160" t="str">
        <v>Ngân hàng - Tài chính (NHTC)</v>
      </c>
      <c r="D160" t="str">
        <v>Cử nhân cấp bằng (Full 3-4 năm)</v>
      </c>
      <c r="E160" t="str">
        <v>BScBF I20</v>
      </c>
      <c r="F160" t="str">
        <v>Năm 4</v>
      </c>
      <c r="G160" t="str">
        <v>SEM 2</v>
      </c>
      <c r="H160" t="str">
        <v>UMETH6-30-3</v>
      </c>
      <c r="I160" t="str">
        <v>Portfolio Management with Professional Practice</v>
      </c>
      <c r="J160" t="str">
        <v>Trần Thị Bích Ngọc</v>
      </c>
      <c r="K160">
        <v>2</v>
      </c>
      <c r="L160">
        <v>35</v>
      </c>
      <c r="M160">
        <v>90</v>
      </c>
      <c r="N160">
        <v>85</v>
      </c>
      <c r="O160">
        <v>100</v>
      </c>
      <c r="P160">
        <v>0</v>
      </c>
      <c r="Q160">
        <v>0</v>
      </c>
      <c r="R160" t="str">
        <v>N/A</v>
      </c>
      <c r="S160">
        <v>0</v>
      </c>
      <c r="T160">
        <f>IF(OR(M160="N/A",P160="N/A"),"N/A",ROUND(P160/M160*100,1))</f>
      </c>
      <c r="U160">
        <f>IF(OR(N160="N/A",Q160="N/A"),"N/A",ROUND(IF(Q160/N160&gt;=1,Q160/N160,MIN(1,(Q160/N160)+(IF(OR(R160="N/A",R160=""),0,R160/N160))))*100,1))</f>
      </c>
      <c r="V160">
        <f>IF(OR(O160="N/A",S160="N/A"),"N/A",ROUND(S160/O160*100,1))</f>
      </c>
      <c r="W160">
        <f>IF(COUNT(T160:V160)&gt;0,ROUND(AVERAGE(T160:V160),1),"N/A")</f>
      </c>
      <c r="X160" t="str">
        <v>Kỳ 2 (Kỳ hiện tại)</v>
      </c>
    </row>
    <row r="161">
      <c r="A161">
        <v>160</v>
      </c>
      <c r="B161" t="str">
        <v>NHTC</v>
      </c>
      <c r="C161" t="str">
        <v>Ngân hàng - Tài chính (NHTC)</v>
      </c>
      <c r="D161" t="str">
        <v>Cử nhân cấp bằng (Full 3-4 năm)</v>
      </c>
      <c r="E161" t="str">
        <v>BScBF I20</v>
      </c>
      <c r="F161" t="str">
        <v>Năm 4</v>
      </c>
      <c r="G161" t="str">
        <v>SEM 2</v>
      </c>
      <c r="H161" t="str">
        <v>UMETH7-15-3</v>
      </c>
      <c r="I161" t="str">
        <v>(Opt 1) Behavioural Finance</v>
      </c>
      <c r="J161" t="str">
        <v>Trần Thị Bích Ngọc</v>
      </c>
      <c r="K161">
        <v>2</v>
      </c>
      <c r="L161">
        <v>35</v>
      </c>
      <c r="M161">
        <v>90</v>
      </c>
      <c r="N161">
        <v>85</v>
      </c>
      <c r="O161">
        <v>100</v>
      </c>
      <c r="P161">
        <v>0</v>
      </c>
      <c r="Q161">
        <v>0</v>
      </c>
      <c r="R161" t="str">
        <v>N/A</v>
      </c>
      <c r="S161">
        <v>0</v>
      </c>
      <c r="T161">
        <f>IF(OR(M161="N/A",P161="N/A"),"N/A",ROUND(P161/M161*100,1))</f>
      </c>
      <c r="U161">
        <f>IF(OR(N161="N/A",Q161="N/A"),"N/A",ROUND(IF(Q161/N161&gt;=1,Q161/N161,MIN(1,(Q161/N161)+(IF(OR(R161="N/A",R161=""),0,R161/N161))))*100,1))</f>
      </c>
      <c r="V161">
        <f>IF(OR(O161="N/A",S161="N/A"),"N/A",ROUND(S161/O161*100,1))</f>
      </c>
      <c r="W161">
        <f>IF(COUNT(T161:V161)&gt;0,ROUND(AVERAGE(T161:V161),1),"N/A")</f>
      </c>
      <c r="X161" t="str">
        <v>Kỳ 2 (Kỳ hiện tại)</v>
      </c>
    </row>
    <row r="162">
      <c r="A162">
        <v>161</v>
      </c>
      <c r="B162" t="str">
        <v>BTEC</v>
      </c>
      <c r="C162" t="str">
        <v>BTEC HND</v>
      </c>
      <c r="D162" t="str">
        <v>Cao đẳng Quốc tế Pearson (2 năm)</v>
      </c>
      <c r="E162" t="str">
        <v>BTEC HND</v>
      </c>
      <c r="F162" t="str">
        <v>Năm 1</v>
      </c>
      <c r="G162" t="str">
        <v>SEM 1</v>
      </c>
      <c r="H162" t="str">
        <v>RQF21.AP</v>
      </c>
      <c r="I162" t="str">
        <v>Accounting Principles</v>
      </c>
      <c r="J162" t="str">
        <v>Trần Hương Thảo</v>
      </c>
      <c r="K162">
        <v>2</v>
      </c>
      <c r="L162">
        <v>45</v>
      </c>
      <c r="M162">
        <v>95</v>
      </c>
      <c r="N162">
        <v>80</v>
      </c>
      <c r="O162">
        <v>90</v>
      </c>
      <c r="P162">
        <v>92</v>
      </c>
      <c r="Q162">
        <v>88</v>
      </c>
      <c r="R162" t="str">
        <v>N/A</v>
      </c>
      <c r="S162">
        <v>91</v>
      </c>
      <c r="T162">
        <f>IF(OR(M162="N/A",P162="N/A"),"N/A",ROUND(P162/M162*100,1))</f>
      </c>
      <c r="U162">
        <f>IF(OR(N162="N/A",Q162="N/A"),"N/A",ROUND(IF(Q162/N162&gt;=1,Q162/N162,MIN(1,(Q162/N162)+(IF(OR(R162="N/A",R162=""),0,R162/N162))))*100,1))</f>
      </c>
      <c r="V162">
        <f>IF(OR(O162="N/A",S162="N/A"),"N/A",ROUND(S162/O162*100,1))</f>
      </c>
      <c r="W162">
        <f>IF(COUNT(T162:V162)&gt;0,ROUND(AVERAGE(T162:V162),1),"N/A")</f>
      </c>
      <c r="X162" t="str">
        <v>Kỳ học theo khóa</v>
      </c>
    </row>
    <row r="163">
      <c r="A163">
        <v>162</v>
      </c>
      <c r="B163" t="str">
        <v>BTEC</v>
      </c>
      <c r="C163" t="str">
        <v>BTEC HND</v>
      </c>
      <c r="D163" t="str">
        <v>Cao đẳng Quốc tế Pearson (2 năm)</v>
      </c>
      <c r="E163" t="str">
        <v>BTEC HND</v>
      </c>
      <c r="F163" t="str">
        <v>Năm 1</v>
      </c>
      <c r="G163" t="str">
        <v>SEM 1</v>
      </c>
      <c r="H163" t="str">
        <v>RQF21.BL</v>
      </c>
      <c r="I163" t="str">
        <v>Business Law</v>
      </c>
      <c r="J163" t="str">
        <v>Trần Hương Thảo</v>
      </c>
      <c r="K163">
        <v>2</v>
      </c>
      <c r="L163">
        <v>45</v>
      </c>
      <c r="M163">
        <v>95</v>
      </c>
      <c r="N163">
        <v>80</v>
      </c>
      <c r="O163">
        <v>90</v>
      </c>
      <c r="P163">
        <v>92</v>
      </c>
      <c r="Q163">
        <v>88</v>
      </c>
      <c r="R163" t="str">
        <v>N/A</v>
      </c>
      <c r="S163">
        <v>91</v>
      </c>
      <c r="T163">
        <f>IF(OR(M163="N/A",P163="N/A"),"N/A",ROUND(P163/M163*100,1))</f>
      </c>
      <c r="U163">
        <f>IF(OR(N163="N/A",Q163="N/A"),"N/A",ROUND(IF(Q163/N163&gt;=1,Q163/N163,MIN(1,(Q163/N163)+(IF(OR(R163="N/A",R163=""),0,R163/N163))))*100,1))</f>
      </c>
      <c r="V163">
        <f>IF(OR(O163="N/A",S163="N/A"),"N/A",ROUND(S163/O163*100,1))</f>
      </c>
      <c r="W163">
        <f>IF(COUNT(T163:V163)&gt;0,ROUND(AVERAGE(T163:V163),1),"N/A")</f>
      </c>
      <c r="X163" t="str">
        <v>Kỳ học theo khóa</v>
      </c>
    </row>
    <row r="164">
      <c r="A164">
        <v>163</v>
      </c>
      <c r="B164" t="str">
        <v>BTEC</v>
      </c>
      <c r="C164" t="str">
        <v>BTEC HND</v>
      </c>
      <c r="D164" t="str">
        <v>Cao đẳng Quốc tế Pearson (2 năm)</v>
      </c>
      <c r="E164" t="str">
        <v>BTEC HND</v>
      </c>
      <c r="F164" t="str">
        <v>Năm 1</v>
      </c>
      <c r="G164" t="str">
        <v>SEM 1</v>
      </c>
      <c r="H164" t="str">
        <v>RQF21.BS</v>
      </c>
      <c r="I164" t="str">
        <v>Business Strategy</v>
      </c>
      <c r="J164" t="str">
        <v>Trần Hương Thảo</v>
      </c>
      <c r="K164">
        <v>2</v>
      </c>
      <c r="L164">
        <v>45</v>
      </c>
      <c r="M164">
        <v>95</v>
      </c>
      <c r="N164">
        <v>80</v>
      </c>
      <c r="O164">
        <v>90</v>
      </c>
      <c r="P164">
        <v>92</v>
      </c>
      <c r="Q164">
        <v>88</v>
      </c>
      <c r="R164" t="str">
        <v>N/A</v>
      </c>
      <c r="S164">
        <v>91</v>
      </c>
      <c r="T164">
        <f>IF(OR(M164="N/A",P164="N/A"),"N/A",ROUND(P164/M164*100,1))</f>
      </c>
      <c r="U164">
        <f>IF(OR(N164="N/A",Q164="N/A"),"N/A",ROUND(IF(Q164/N164&gt;=1,Q164/N164,MIN(1,(Q164/N164)+(IF(OR(R164="N/A",R164=""),0,R164/N164))))*100,1))</f>
      </c>
      <c r="V164">
        <f>IF(OR(O164="N/A",S164="N/A"),"N/A",ROUND(S164/O164*100,1))</f>
      </c>
      <c r="W164">
        <f>IF(COUNT(T164:V164)&gt;0,ROUND(AVERAGE(T164:V164),1),"N/A")</f>
      </c>
      <c r="X164" t="str">
        <v>Kỳ học theo khóa</v>
      </c>
    </row>
    <row r="165">
      <c r="A165">
        <v>164</v>
      </c>
      <c r="B165" t="str">
        <v>BTEC</v>
      </c>
      <c r="C165" t="str">
        <v>BTEC HND</v>
      </c>
      <c r="D165" t="str">
        <v>Cao đẳng Quốc tế Pearson (2 năm)</v>
      </c>
      <c r="E165" t="str">
        <v>BTEC HND</v>
      </c>
      <c r="F165" t="str">
        <v>Năm 1</v>
      </c>
      <c r="G165" t="str">
        <v>SEM 1</v>
      </c>
      <c r="H165" t="str">
        <v>RQF21.CBE</v>
      </c>
      <c r="I165" t="str">
        <v>The Contemporary Business Environment</v>
      </c>
      <c r="J165" t="str">
        <v>Trần Hương Thảo</v>
      </c>
      <c r="K165">
        <v>2</v>
      </c>
      <c r="L165">
        <v>45</v>
      </c>
      <c r="M165">
        <v>95</v>
      </c>
      <c r="N165">
        <v>80</v>
      </c>
      <c r="O165">
        <v>90</v>
      </c>
      <c r="P165">
        <v>92</v>
      </c>
      <c r="Q165">
        <v>88</v>
      </c>
      <c r="R165" t="str">
        <v>N/A</v>
      </c>
      <c r="S165">
        <v>91</v>
      </c>
      <c r="T165">
        <f>IF(OR(M165="N/A",P165="N/A"),"N/A",ROUND(P165/M165*100,1))</f>
      </c>
      <c r="U165">
        <f>IF(OR(N165="N/A",Q165="N/A"),"N/A",ROUND(IF(Q165/N165&gt;=1,Q165/N165,MIN(1,(Q165/N165)+(IF(OR(R165="N/A",R165=""),0,R165/N165))))*100,1))</f>
      </c>
      <c r="V165">
        <f>IF(OR(O165="N/A",S165="N/A"),"N/A",ROUND(S165/O165*100,1))</f>
      </c>
      <c r="W165">
        <f>IF(COUNT(T165:V165)&gt;0,ROUND(AVERAGE(T165:V165),1),"N/A")</f>
      </c>
      <c r="X165" t="str">
        <v>Kỳ học theo khóa</v>
      </c>
    </row>
    <row r="166">
      <c r="A166">
        <v>165</v>
      </c>
      <c r="B166" t="str">
        <v>BTEC</v>
      </c>
      <c r="C166" t="str">
        <v>BTEC HND</v>
      </c>
      <c r="D166" t="str">
        <v>Cao đẳng Quốc tế Pearson (2 năm)</v>
      </c>
      <c r="E166" t="str">
        <v>BTEC HND</v>
      </c>
      <c r="F166" t="str">
        <v>Năm 1</v>
      </c>
      <c r="G166" t="str">
        <v>SEM 1</v>
      </c>
      <c r="H166" t="str">
        <v>RQF21.FM</v>
      </c>
      <c r="I166" t="str">
        <v>Financial Management</v>
      </c>
      <c r="J166" t="str">
        <v>Trần Hương Thảo</v>
      </c>
      <c r="K166">
        <v>2</v>
      </c>
      <c r="L166">
        <v>45</v>
      </c>
      <c r="M166">
        <v>95</v>
      </c>
      <c r="N166">
        <v>80</v>
      </c>
      <c r="O166">
        <v>90</v>
      </c>
      <c r="P166">
        <v>92</v>
      </c>
      <c r="Q166">
        <v>88</v>
      </c>
      <c r="R166" t="str">
        <v>N/A</v>
      </c>
      <c r="S166">
        <v>91</v>
      </c>
      <c r="T166">
        <f>IF(OR(M166="N/A",P166="N/A"),"N/A",ROUND(P166/M166*100,1))</f>
      </c>
      <c r="U166">
        <f>IF(OR(N166="N/A",Q166="N/A"),"N/A",ROUND(IF(Q166/N166&gt;=1,Q166/N166,MIN(1,(Q166/N166)+(IF(OR(R166="N/A",R166=""),0,R166/N166))))*100,1))</f>
      </c>
      <c r="V166">
        <f>IF(OR(O166="N/A",S166="N/A"),"N/A",ROUND(S166/O166*100,1))</f>
      </c>
      <c r="W166">
        <f>IF(COUNT(T166:V166)&gt;0,ROUND(AVERAGE(T166:V166),1),"N/A")</f>
      </c>
      <c r="X166" t="str">
        <v>Kỳ học theo khóa</v>
      </c>
    </row>
    <row r="167">
      <c r="A167">
        <v>166</v>
      </c>
      <c r="B167" t="str">
        <v>BTEC</v>
      </c>
      <c r="C167" t="str">
        <v>BTEC HND</v>
      </c>
      <c r="D167" t="str">
        <v>Cao đẳng Quốc tế Pearson (2 năm)</v>
      </c>
      <c r="E167" t="str">
        <v>BTEC HND</v>
      </c>
      <c r="F167" t="str">
        <v>Năm 1</v>
      </c>
      <c r="G167" t="str">
        <v>SEM 1</v>
      </c>
      <c r="H167" t="str">
        <v>RQF21.FR</v>
      </c>
      <c r="I167" t="str">
        <v>Financial Reporting</v>
      </c>
      <c r="J167" t="str">
        <v>Trần Hương Thảo</v>
      </c>
      <c r="K167">
        <v>2</v>
      </c>
      <c r="L167">
        <v>45</v>
      </c>
      <c r="M167">
        <v>95</v>
      </c>
      <c r="N167">
        <v>80</v>
      </c>
      <c r="O167">
        <v>90</v>
      </c>
      <c r="P167">
        <v>92</v>
      </c>
      <c r="Q167">
        <v>88</v>
      </c>
      <c r="R167" t="str">
        <v>N/A</v>
      </c>
      <c r="S167">
        <v>91</v>
      </c>
      <c r="T167">
        <f>IF(OR(M167="N/A",P167="N/A"),"N/A",ROUND(P167/M167*100,1))</f>
      </c>
      <c r="U167">
        <f>IF(OR(N167="N/A",Q167="N/A"),"N/A",ROUND(IF(Q167/N167&gt;=1,Q167/N167,MIN(1,(Q167/N167)+(IF(OR(R167="N/A",R167=""),0,R167/N167))))*100,1))</f>
      </c>
      <c r="V167">
        <f>IF(OR(O167="N/A",S167="N/A"),"N/A",ROUND(S167/O167*100,1))</f>
      </c>
      <c r="W167">
        <f>IF(COUNT(T167:V167)&gt;0,ROUND(AVERAGE(T167:V167),1),"N/A")</f>
      </c>
      <c r="X167" t="str">
        <v>Kỳ học theo khóa</v>
      </c>
    </row>
    <row r="168">
      <c r="A168">
        <v>167</v>
      </c>
      <c r="B168" t="str">
        <v>BTEC</v>
      </c>
      <c r="C168" t="str">
        <v>BTEC HND</v>
      </c>
      <c r="D168" t="str">
        <v>Cao đẳng Quốc tế Pearson (2 năm)</v>
      </c>
      <c r="E168" t="str">
        <v>BTEC HND</v>
      </c>
      <c r="F168" t="str">
        <v>Năm 1</v>
      </c>
      <c r="G168" t="str">
        <v>SEM 1</v>
      </c>
      <c r="H168" t="str">
        <v>RQF21.IC</v>
      </c>
      <c r="I168" t="str">
        <v>Innovation and Commercialisation</v>
      </c>
      <c r="J168" t="str">
        <v>Trần Hương Thảo</v>
      </c>
      <c r="K168">
        <v>2</v>
      </c>
      <c r="L168">
        <v>45</v>
      </c>
      <c r="M168">
        <v>95</v>
      </c>
      <c r="N168">
        <v>80</v>
      </c>
      <c r="O168">
        <v>90</v>
      </c>
      <c r="P168">
        <v>92</v>
      </c>
      <c r="Q168">
        <v>88</v>
      </c>
      <c r="R168" t="str">
        <v>N/A</v>
      </c>
      <c r="S168">
        <v>91</v>
      </c>
      <c r="T168">
        <f>IF(OR(M168="N/A",P168="N/A"),"N/A",ROUND(P168/M168*100,1))</f>
      </c>
      <c r="U168">
        <f>IF(OR(N168="N/A",Q168="N/A"),"N/A",ROUND(IF(Q168/N168&gt;=1,Q168/N168,MIN(1,(Q168/N168)+(IF(OR(R168="N/A",R168=""),0,R168/N168))))*100,1))</f>
      </c>
      <c r="V168">
        <f>IF(OR(O168="N/A",S168="N/A"),"N/A",ROUND(S168/O168*100,1))</f>
      </c>
      <c r="W168">
        <f>IF(COUNT(T168:V168)&gt;0,ROUND(AVERAGE(T168:V168),1),"N/A")</f>
      </c>
      <c r="X168" t="str">
        <v>Kỳ học theo khóa</v>
      </c>
    </row>
    <row r="169">
      <c r="A169">
        <v>168</v>
      </c>
      <c r="B169" t="str">
        <v>BTEC</v>
      </c>
      <c r="C169" t="str">
        <v>BTEC HND</v>
      </c>
      <c r="D169" t="str">
        <v>Cao đẳng Quốc tế Pearson (2 năm)</v>
      </c>
      <c r="E169" t="str">
        <v>BTEC HND</v>
      </c>
      <c r="F169" t="str">
        <v>Năm 1</v>
      </c>
      <c r="G169" t="str">
        <v>SEM 1</v>
      </c>
      <c r="H169" t="str">
        <v>RQF21.MA</v>
      </c>
      <c r="I169" t="str">
        <v>Management Accounting</v>
      </c>
      <c r="J169" t="str">
        <v>Trần Hương Thảo</v>
      </c>
      <c r="K169">
        <v>2</v>
      </c>
      <c r="L169">
        <v>45</v>
      </c>
      <c r="M169">
        <v>95</v>
      </c>
      <c r="N169">
        <v>80</v>
      </c>
      <c r="O169">
        <v>90</v>
      </c>
      <c r="P169">
        <v>92</v>
      </c>
      <c r="Q169">
        <v>88</v>
      </c>
      <c r="R169" t="str">
        <v>N/A</v>
      </c>
      <c r="S169">
        <v>91</v>
      </c>
      <c r="T169">
        <f>IF(OR(M169="N/A",P169="N/A"),"N/A",ROUND(P169/M169*100,1))</f>
      </c>
      <c r="U169">
        <f>IF(OR(N169="N/A",Q169="N/A"),"N/A",ROUND(IF(Q169/N169&gt;=1,Q169/N169,MIN(1,(Q169/N169)+(IF(OR(R169="N/A",R169=""),0,R169/N169))))*100,1))</f>
      </c>
      <c r="V169">
        <f>IF(OR(O169="N/A",S169="N/A"),"N/A",ROUND(S169/O169*100,1))</f>
      </c>
      <c r="W169">
        <f>IF(COUNT(T169:V169)&gt;0,ROUND(AVERAGE(T169:V169),1),"N/A")</f>
      </c>
      <c r="X169" t="str">
        <v>Kỳ học theo khóa</v>
      </c>
    </row>
    <row r="170">
      <c r="A170">
        <v>169</v>
      </c>
      <c r="B170" t="str">
        <v>BTEC</v>
      </c>
      <c r="C170" t="str">
        <v>BTEC HND</v>
      </c>
      <c r="D170" t="str">
        <v>Cao đẳng Quốc tế Pearson (2 năm)</v>
      </c>
      <c r="E170" t="str">
        <v>BTEC HND</v>
      </c>
      <c r="F170" t="str">
        <v>Năm 1</v>
      </c>
      <c r="G170" t="str">
        <v>SEM 1</v>
      </c>
      <c r="H170" t="str">
        <v>RQF21.MIA</v>
      </c>
      <c r="I170" t="str">
        <v>Marketing Insights and Analytics</v>
      </c>
      <c r="J170" t="str">
        <v>Trần Hương Thảo</v>
      </c>
      <c r="K170">
        <v>2</v>
      </c>
      <c r="L170">
        <v>45</v>
      </c>
      <c r="M170">
        <v>95</v>
      </c>
      <c r="N170">
        <v>80</v>
      </c>
      <c r="O170">
        <v>90</v>
      </c>
      <c r="P170">
        <v>92</v>
      </c>
      <c r="Q170">
        <v>88</v>
      </c>
      <c r="R170" t="str">
        <v>N/A</v>
      </c>
      <c r="S170">
        <v>91</v>
      </c>
      <c r="T170">
        <f>IF(OR(M170="N/A",P170="N/A"),"N/A",ROUND(P170/M170*100,1))</f>
      </c>
      <c r="U170">
        <f>IF(OR(N170="N/A",Q170="N/A"),"N/A",ROUND(IF(Q170/N170&gt;=1,Q170/N170,MIN(1,(Q170/N170)+(IF(OR(R170="N/A",R170=""),0,R170/N170))))*100,1))</f>
      </c>
      <c r="V170">
        <f>IF(OR(O170="N/A",S170="N/A"),"N/A",ROUND(S170/O170*100,1))</f>
      </c>
      <c r="W170">
        <f>IF(COUNT(T170:V170)&gt;0,ROUND(AVERAGE(T170:V170),1),"N/A")</f>
      </c>
      <c r="X170" t="str">
        <v>Kỳ học theo khóa</v>
      </c>
    </row>
    <row r="171">
      <c r="A171">
        <v>170</v>
      </c>
      <c r="B171" t="str">
        <v>BTEC</v>
      </c>
      <c r="C171" t="str">
        <v>BTEC HND</v>
      </c>
      <c r="D171" t="str">
        <v>Cao đẳng Quốc tế Pearson (2 năm)</v>
      </c>
      <c r="E171" t="str">
        <v>BTEC HND</v>
      </c>
      <c r="F171" t="str">
        <v>Năm 1</v>
      </c>
      <c r="G171" t="str">
        <v>SEM 1</v>
      </c>
      <c r="H171" t="str">
        <v>RQF21.MSBP</v>
      </c>
      <c r="I171" t="str">
        <v>Managing a Successful Business Project (Pearson set)</v>
      </c>
      <c r="J171" t="str">
        <v>Trần Hương Thảo</v>
      </c>
      <c r="K171">
        <v>2</v>
      </c>
      <c r="L171">
        <v>45</v>
      </c>
      <c r="M171">
        <v>95</v>
      </c>
      <c r="N171">
        <v>80</v>
      </c>
      <c r="O171">
        <v>90</v>
      </c>
      <c r="P171">
        <v>92</v>
      </c>
      <c r="Q171">
        <v>88</v>
      </c>
      <c r="R171" t="str">
        <v>N/A</v>
      </c>
      <c r="S171">
        <v>91</v>
      </c>
      <c r="T171">
        <f>IF(OR(M171="N/A",P171="N/A"),"N/A",ROUND(P171/M171*100,1))</f>
      </c>
      <c r="U171">
        <f>IF(OR(N171="N/A",Q171="N/A"),"N/A",ROUND(IF(Q171/N171&gt;=1,Q171/N171,MIN(1,(Q171/N171)+(IF(OR(R171="N/A",R171=""),0,R171/N171))))*100,1))</f>
      </c>
      <c r="V171">
        <f>IF(OR(O171="N/A",S171="N/A"),"N/A",ROUND(S171/O171*100,1))</f>
      </c>
      <c r="W171">
        <f>IF(COUNT(T171:V171)&gt;0,ROUND(AVERAGE(T171:V171),1),"N/A")</f>
      </c>
      <c r="X171" t="str">
        <v>Kỳ học theo khóa</v>
      </c>
    </row>
    <row r="172">
      <c r="A172">
        <v>171</v>
      </c>
      <c r="B172" t="str">
        <v>BTEC</v>
      </c>
      <c r="C172" t="str">
        <v>BTEC HND</v>
      </c>
      <c r="D172" t="str">
        <v>Cao đẳng Quốc tế Pearson (2 năm)</v>
      </c>
      <c r="E172" t="str">
        <v>BTEC HND</v>
      </c>
      <c r="F172" t="str">
        <v>Năm 1</v>
      </c>
      <c r="G172" t="str">
        <v>SEM 1</v>
      </c>
      <c r="H172" t="str">
        <v>RQF21.OBM</v>
      </c>
      <c r="I172" t="str">
        <v>Organisational Behaviour Management</v>
      </c>
      <c r="J172" t="str">
        <v>Trần Hương Thảo</v>
      </c>
      <c r="K172">
        <v>2</v>
      </c>
      <c r="L172">
        <v>45</v>
      </c>
      <c r="M172">
        <v>95</v>
      </c>
      <c r="N172">
        <v>80</v>
      </c>
      <c r="O172">
        <v>90</v>
      </c>
      <c r="P172">
        <v>92</v>
      </c>
      <c r="Q172">
        <v>88</v>
      </c>
      <c r="R172" t="str">
        <v>N/A</v>
      </c>
      <c r="S172">
        <v>91</v>
      </c>
      <c r="T172">
        <f>IF(OR(M172="N/A",P172="N/A"),"N/A",ROUND(P172/M172*100,1))</f>
      </c>
      <c r="U172">
        <f>IF(OR(N172="N/A",Q172="N/A"),"N/A",ROUND(IF(Q172/N172&gt;=1,Q172/N172,MIN(1,(Q172/N172)+(IF(OR(R172="N/A",R172=""),0,R172/N172))))*100,1))</f>
      </c>
      <c r="V172">
        <f>IF(OR(O172="N/A",S172="N/A"),"N/A",ROUND(S172/O172*100,1))</f>
      </c>
      <c r="W172">
        <f>IF(COUNT(T172:V172)&gt;0,ROUND(AVERAGE(T172:V172),1),"N/A")</f>
      </c>
      <c r="X172" t="str">
        <v>Kỳ học theo khóa</v>
      </c>
    </row>
    <row r="173">
      <c r="A173">
        <v>172</v>
      </c>
      <c r="B173" t="str">
        <v>BTEC</v>
      </c>
      <c r="C173" t="str">
        <v>BTEC HND</v>
      </c>
      <c r="D173" t="str">
        <v>Cao đẳng Quốc tế Pearson (2 năm)</v>
      </c>
      <c r="E173" t="str">
        <v>BTEC HND</v>
      </c>
      <c r="F173" t="str">
        <v>Năm 1</v>
      </c>
      <c r="G173" t="str">
        <v>SEM 1</v>
      </c>
      <c r="H173" t="str">
        <v>RQF21.POM</v>
      </c>
      <c r="I173" t="str">
        <v>Principles of Operations Management</v>
      </c>
      <c r="J173" t="str">
        <v>Trần Hương Thảo</v>
      </c>
      <c r="K173">
        <v>2</v>
      </c>
      <c r="L173">
        <v>45</v>
      </c>
      <c r="M173">
        <v>95</v>
      </c>
      <c r="N173">
        <v>80</v>
      </c>
      <c r="O173">
        <v>90</v>
      </c>
      <c r="P173">
        <v>92</v>
      </c>
      <c r="Q173">
        <v>88</v>
      </c>
      <c r="R173" t="str">
        <v>N/A</v>
      </c>
      <c r="S173">
        <v>91</v>
      </c>
      <c r="T173">
        <f>IF(OR(M173="N/A",P173="N/A"),"N/A",ROUND(P173/M173*100,1))</f>
      </c>
      <c r="U173">
        <f>IF(OR(N173="N/A",Q173="N/A"),"N/A",ROUND(IF(Q173/N173&gt;=1,Q173/N173,MIN(1,(Q173/N173)+(IF(OR(R173="N/A",R173=""),0,R173/N173))))*100,1))</f>
      </c>
      <c r="V173">
        <f>IF(OR(O173="N/A",S173="N/A"),"N/A",ROUND(S173/O173*100,1))</f>
      </c>
      <c r="W173">
        <f>IF(COUNT(T173:V173)&gt;0,ROUND(AVERAGE(T173:V173),1),"N/A")</f>
      </c>
      <c r="X173" t="str">
        <v>Kỳ học theo khóa</v>
      </c>
    </row>
    <row r="174">
      <c r="A174">
        <v>173</v>
      </c>
      <c r="B174" t="str">
        <v>BTEC</v>
      </c>
      <c r="C174" t="str">
        <v>BTEC HND</v>
      </c>
      <c r="D174" t="str">
        <v>Cao đẳng Quốc tế Pearson (2 năm)</v>
      </c>
      <c r="E174" t="str">
        <v>BTEC HND</v>
      </c>
      <c r="F174" t="str">
        <v>Năm 1</v>
      </c>
      <c r="G174" t="str">
        <v>SEM 1</v>
      </c>
      <c r="H174" t="str">
        <v>RQF21.RP</v>
      </c>
      <c r="I174" t="str">
        <v>Research Project (Pearson set)</v>
      </c>
      <c r="J174" t="str">
        <v>Trần Hương Thảo</v>
      </c>
      <c r="K174">
        <v>2</v>
      </c>
      <c r="L174">
        <v>45</v>
      </c>
      <c r="M174">
        <v>95</v>
      </c>
      <c r="N174">
        <v>80</v>
      </c>
      <c r="O174">
        <v>90</v>
      </c>
      <c r="P174">
        <v>92</v>
      </c>
      <c r="Q174">
        <v>88</v>
      </c>
      <c r="R174" t="str">
        <v>N/A</v>
      </c>
      <c r="S174">
        <v>91</v>
      </c>
      <c r="T174">
        <f>IF(OR(M174="N/A",P174="N/A"),"N/A",ROUND(P174/M174*100,1))</f>
      </c>
      <c r="U174">
        <f>IF(OR(N174="N/A",Q174="N/A"),"N/A",ROUND(IF(Q174/N174&gt;=1,Q174/N174,MIN(1,(Q174/N174)+(IF(OR(R174="N/A",R174=""),0,R174/N174))))*100,1))</f>
      </c>
      <c r="V174">
        <f>IF(OR(O174="N/A",S174="N/A"),"N/A",ROUND(S174/O174*100,1))</f>
      </c>
      <c r="W174">
        <f>IF(COUNT(T174:V174)&gt;0,ROUND(AVERAGE(T174:V174),1),"N/A")</f>
      </c>
      <c r="X174" t="str">
        <v>Kỳ học theo khóa</v>
      </c>
    </row>
    <row r="175">
      <c r="A175">
        <v>174</v>
      </c>
      <c r="B175" t="str">
        <v>BTEC</v>
      </c>
      <c r="C175" t="str">
        <v>BTEC HND</v>
      </c>
      <c r="D175" t="str">
        <v>Cao đẳng Quốc tế Pearson (2 năm)</v>
      </c>
      <c r="E175" t="str">
        <v>BTEC HND</v>
      </c>
      <c r="F175" t="str">
        <v>Năm 1</v>
      </c>
      <c r="G175" t="str">
        <v>SEM 1</v>
      </c>
      <c r="H175" t="str">
        <v>RQF21.SFM</v>
      </c>
      <c r="I175" t="str">
        <v>Statistics for Management</v>
      </c>
      <c r="J175" t="str">
        <v>Trần Hương Thảo</v>
      </c>
      <c r="K175">
        <v>2</v>
      </c>
      <c r="L175">
        <v>45</v>
      </c>
      <c r="M175">
        <v>95</v>
      </c>
      <c r="N175">
        <v>80</v>
      </c>
      <c r="O175">
        <v>90</v>
      </c>
      <c r="P175">
        <v>92</v>
      </c>
      <c r="Q175">
        <v>88</v>
      </c>
      <c r="R175" t="str">
        <v>N/A</v>
      </c>
      <c r="S175">
        <v>91</v>
      </c>
      <c r="T175">
        <f>IF(OR(M175="N/A",P175="N/A"),"N/A",ROUND(P175/M175*100,1))</f>
      </c>
      <c r="U175">
        <f>IF(OR(N175="N/A",Q175="N/A"),"N/A",ROUND(IF(Q175/N175&gt;=1,Q175/N175,MIN(1,(Q175/N175)+(IF(OR(R175="N/A",R175=""),0,R175/N175))))*100,1))</f>
      </c>
      <c r="V175">
        <f>IF(OR(O175="N/A",S175="N/A"),"N/A",ROUND(S175/O175*100,1))</f>
      </c>
      <c r="W175">
        <f>IF(COUNT(T175:V175)&gt;0,ROUND(AVERAGE(T175:V175),1),"N/A")</f>
      </c>
      <c r="X175" t="str">
        <v>Kỳ học theo khóa</v>
      </c>
    </row>
    <row r="176">
      <c r="A176">
        <v>175</v>
      </c>
      <c r="B176" t="str">
        <v>BTEC</v>
      </c>
      <c r="C176" t="str">
        <v>BTEC HND</v>
      </c>
      <c r="D176" t="str">
        <v>Cao đẳng Quốc tế Pearson (2 năm)</v>
      </c>
      <c r="E176" t="str">
        <v>BTEC HND</v>
      </c>
      <c r="F176" t="str">
        <v>Năm 1</v>
      </c>
      <c r="G176" t="str">
        <v>SEM 2</v>
      </c>
      <c r="H176" t="str">
        <v>RQF21.DM</v>
      </c>
      <c r="I176" t="str">
        <v>Digital Marketing</v>
      </c>
      <c r="J176" t="str">
        <v>Trần Hương Thảo</v>
      </c>
      <c r="K176">
        <v>2</v>
      </c>
      <c r="L176">
        <v>64</v>
      </c>
      <c r="M176">
        <v>95</v>
      </c>
      <c r="N176">
        <v>80</v>
      </c>
      <c r="O176">
        <v>90</v>
      </c>
      <c r="P176">
        <v>92</v>
      </c>
      <c r="Q176">
        <v>84.1</v>
      </c>
      <c r="R176">
        <v>92.4</v>
      </c>
      <c r="S176">
        <v>90.8</v>
      </c>
      <c r="T176">
        <f>IF(OR(M176="N/A",P176="N/A"),"N/A",ROUND(P176/M176*100,1))</f>
      </c>
      <c r="U176">
        <f>IF(OR(N176="N/A",Q176="N/A"),"N/A",ROUND(IF(Q176/N176&gt;=1,Q176/N176,MIN(1,(Q176/N176)+(IF(OR(R176="N/A",R176=""),0,R176/N176))))*100,1))</f>
      </c>
      <c r="V176">
        <f>IF(OR(O176="N/A",S176="N/A"),"N/A",ROUND(S176/O176*100,1))</f>
      </c>
      <c r="W176">
        <f>IF(COUNT(T176:V176)&gt;0,ROUND(AVERAGE(T176:V176),1),"N/A")</f>
      </c>
      <c r="X176" t="str">
        <v>Kỳ 2 (Kỳ hiện tại)</v>
      </c>
    </row>
    <row r="177">
      <c r="A177">
        <v>176</v>
      </c>
      <c r="B177" t="str">
        <v>BTEC</v>
      </c>
      <c r="C177" t="str">
        <v>BTEC HND</v>
      </c>
      <c r="D177" t="str">
        <v>Cao đẳng Quốc tế Pearson (2 năm)</v>
      </c>
      <c r="E177" t="str">
        <v>BTEC HND</v>
      </c>
      <c r="F177" t="str">
        <v>Năm 1</v>
      </c>
      <c r="G177" t="str">
        <v>SEM 2</v>
      </c>
      <c r="H177" t="str">
        <v>RQF21.GBE</v>
      </c>
      <c r="I177" t="str">
        <v>Global Business Environment</v>
      </c>
      <c r="J177" t="str">
        <v>Trần Hương Thảo</v>
      </c>
      <c r="K177">
        <v>2</v>
      </c>
      <c r="L177">
        <v>51</v>
      </c>
      <c r="M177">
        <v>95</v>
      </c>
      <c r="N177">
        <v>80</v>
      </c>
      <c r="O177">
        <v>90</v>
      </c>
      <c r="P177">
        <v>66.7</v>
      </c>
      <c r="Q177">
        <v>88.1</v>
      </c>
      <c r="R177">
        <v>91</v>
      </c>
      <c r="S177">
        <v>90.2</v>
      </c>
      <c r="T177">
        <f>IF(OR(M177="N/A",P177="N/A"),"N/A",ROUND(P177/M177*100,1))</f>
      </c>
      <c r="U177">
        <f>IF(OR(N177="N/A",Q177="N/A"),"N/A",ROUND(IF(Q177/N177&gt;=1,Q177/N177,MIN(1,(Q177/N177)+(IF(OR(R177="N/A",R177=""),0,R177/N177))))*100,1))</f>
      </c>
      <c r="V177">
        <f>IF(OR(O177="N/A",S177="N/A"),"N/A",ROUND(S177/O177*100,1))</f>
      </c>
      <c r="W177">
        <f>IF(COUNT(T177:V177)&gt;0,ROUND(AVERAGE(T177:V177),1),"N/A")</f>
      </c>
      <c r="X177" t="str">
        <v>Kỳ 2 (Kỳ hiện tại)</v>
      </c>
    </row>
    <row r="178">
      <c r="A178">
        <v>177</v>
      </c>
      <c r="B178" t="str">
        <v>BTEC</v>
      </c>
      <c r="C178" t="str">
        <v>BTEC HND</v>
      </c>
      <c r="D178" t="str">
        <v>Cao đẳng Quốc tế Pearson (2 năm)</v>
      </c>
      <c r="E178" t="str">
        <v>BTEC HND</v>
      </c>
      <c r="F178" t="str">
        <v>Năm 1</v>
      </c>
      <c r="G178" t="str">
        <v>SEM 2</v>
      </c>
      <c r="H178" t="str">
        <v>RQF21.IMC</v>
      </c>
      <c r="I178" t="str">
        <v>Integrated Marketing Communications</v>
      </c>
      <c r="J178" t="str">
        <v>Trần Hương Thảo</v>
      </c>
      <c r="K178">
        <v>2</v>
      </c>
      <c r="L178">
        <v>55</v>
      </c>
      <c r="M178">
        <v>95</v>
      </c>
      <c r="N178">
        <v>80</v>
      </c>
      <c r="O178">
        <v>90</v>
      </c>
      <c r="P178">
        <v>88</v>
      </c>
      <c r="Q178">
        <v>89.9</v>
      </c>
      <c r="R178">
        <v>97.1</v>
      </c>
      <c r="S178">
        <v>97.3</v>
      </c>
      <c r="T178">
        <f>IF(OR(M178="N/A",P178="N/A"),"N/A",ROUND(P178/M178*100,1))</f>
      </c>
      <c r="U178">
        <f>IF(OR(N178="N/A",Q178="N/A"),"N/A",ROUND(IF(Q178/N178&gt;=1,Q178/N178,MIN(1,(Q178/N178)+(IF(OR(R178="N/A",R178=""),0,R178/N178))))*100,1))</f>
      </c>
      <c r="V178">
        <f>IF(OR(O178="N/A",S178="N/A"),"N/A",ROUND(S178/O178*100,1))</f>
      </c>
      <c r="W178">
        <f>IF(COUNT(T178:V178)&gt;0,ROUND(AVERAGE(T178:V178),1),"N/A")</f>
      </c>
      <c r="X178" t="str">
        <v>Kỳ 2 (Kỳ hiện tại)</v>
      </c>
    </row>
    <row r="179">
      <c r="A179">
        <v>178</v>
      </c>
      <c r="B179" t="str">
        <v>BTEC</v>
      </c>
      <c r="C179" t="str">
        <v>BTEC HND</v>
      </c>
      <c r="D179" t="str">
        <v>Cao đẳng Quốc tế Pearson (2 năm)</v>
      </c>
      <c r="E179" t="str">
        <v>BTEC HND</v>
      </c>
      <c r="F179" t="str">
        <v>Năm 1</v>
      </c>
      <c r="G179" t="str">
        <v>SEM 2</v>
      </c>
      <c r="H179" t="str">
        <v>RQF21.LM</v>
      </c>
      <c r="I179" t="str">
        <v>Leadership and Management</v>
      </c>
      <c r="J179" t="str">
        <v>Trần Hương Thảo</v>
      </c>
      <c r="K179">
        <v>3</v>
      </c>
      <c r="L179">
        <v>83</v>
      </c>
      <c r="M179">
        <v>95</v>
      </c>
      <c r="N179">
        <v>80</v>
      </c>
      <c r="O179">
        <v>90</v>
      </c>
      <c r="P179">
        <v>100</v>
      </c>
      <c r="Q179">
        <v>89.1</v>
      </c>
      <c r="R179">
        <v>89.5</v>
      </c>
      <c r="S179">
        <v>94.5</v>
      </c>
      <c r="T179">
        <f>IF(OR(M179="N/A",P179="N/A"),"N/A",ROUND(P179/M179*100,1))</f>
      </c>
      <c r="U179">
        <f>IF(OR(N179="N/A",Q179="N/A"),"N/A",ROUND(IF(Q179/N179&gt;=1,Q179/N179,MIN(1,(Q179/N179)+(IF(OR(R179="N/A",R179=""),0,R179/N179))))*100,1))</f>
      </c>
      <c r="V179">
        <f>IF(OR(O179="N/A",S179="N/A"),"N/A",ROUND(S179/O179*100,1))</f>
      </c>
      <c r="W179">
        <f>IF(COUNT(T179:V179)&gt;0,ROUND(AVERAGE(T179:V179),1),"N/A")</f>
      </c>
      <c r="X179" t="str">
        <v>Kỳ 2 (Kỳ hiện tại)</v>
      </c>
    </row>
    <row r="180">
      <c r="A180">
        <v>179</v>
      </c>
      <c r="B180" t="str">
        <v>BTEC</v>
      </c>
      <c r="C180" t="str">
        <v>BTEC HND</v>
      </c>
      <c r="D180" t="str">
        <v>Cao đẳng Quốc tế Pearson (2 năm)</v>
      </c>
      <c r="E180" t="str">
        <v>BTEC HND</v>
      </c>
      <c r="F180" t="str">
        <v>Năm 1</v>
      </c>
      <c r="G180" t="str">
        <v>SEM 2</v>
      </c>
      <c r="H180" t="str">
        <v>RQF21.MHR</v>
      </c>
      <c r="I180" t="str">
        <v>Management of Human Resources</v>
      </c>
      <c r="J180" t="str">
        <v>Trần Hương Thảo</v>
      </c>
      <c r="K180">
        <v>3</v>
      </c>
      <c r="L180">
        <v>157</v>
      </c>
      <c r="M180">
        <v>95</v>
      </c>
      <c r="N180">
        <v>80</v>
      </c>
      <c r="O180">
        <v>90</v>
      </c>
      <c r="P180">
        <v>94</v>
      </c>
      <c r="Q180">
        <v>53.7</v>
      </c>
      <c r="R180">
        <v>74.7</v>
      </c>
      <c r="S180">
        <v>92.4</v>
      </c>
      <c r="T180">
        <f>IF(OR(M180="N/A",P180="N/A"),"N/A",ROUND(P180/M180*100,1))</f>
      </c>
      <c r="U180">
        <f>IF(OR(N180="N/A",Q180="N/A"),"N/A",ROUND(IF(Q180/N180&gt;=1,Q180/N180,MIN(1,(Q180/N180)+(IF(OR(R180="N/A",R180=""),0,R180/N180))))*100,1))</f>
      </c>
      <c r="V180">
        <f>IF(OR(O180="N/A",S180="N/A"),"N/A",ROUND(S180/O180*100,1))</f>
      </c>
      <c r="W180">
        <f>IF(COUNT(T180:V180)&gt;0,ROUND(AVERAGE(T180:V180),1),"N/A")</f>
      </c>
      <c r="X180" t="str">
        <v>Kỳ 2 (Kỳ hiện tại)</v>
      </c>
    </row>
    <row r="181">
      <c r="A181">
        <v>180</v>
      </c>
      <c r="B181" t="str">
        <v>BTEC</v>
      </c>
      <c r="C181" t="str">
        <v>BTEC HND</v>
      </c>
      <c r="D181" t="str">
        <v>Cao đẳng Quốc tế Pearson (2 năm)</v>
      </c>
      <c r="E181" t="str">
        <v>BTEC HND</v>
      </c>
      <c r="F181" t="str">
        <v>Năm 1</v>
      </c>
      <c r="G181" t="str">
        <v>SEM 2</v>
      </c>
      <c r="H181" t="str">
        <v>RQF21.MLC</v>
      </c>
      <c r="I181" t="str">
        <v>Managing and Leading change</v>
      </c>
      <c r="J181" t="str">
        <v>Trần Hương Thảo</v>
      </c>
      <c r="K181">
        <v>2</v>
      </c>
      <c r="L181">
        <v>54</v>
      </c>
      <c r="M181">
        <v>95</v>
      </c>
      <c r="N181">
        <v>80</v>
      </c>
      <c r="O181">
        <v>90</v>
      </c>
      <c r="P181">
        <v>95</v>
      </c>
      <c r="Q181">
        <v>91</v>
      </c>
      <c r="R181">
        <v>93.1</v>
      </c>
      <c r="S181">
        <v>92.5</v>
      </c>
      <c r="T181">
        <f>IF(OR(M181="N/A",P181="N/A"),"N/A",ROUND(P181/M181*100,1))</f>
      </c>
      <c r="U181">
        <f>IF(OR(N181="N/A",Q181="N/A"),"N/A",ROUND(IF(Q181/N181&gt;=1,Q181/N181,MIN(1,(Q181/N181)+(IF(OR(R181="N/A",R181=""),0,R181/N181))))*100,1))</f>
      </c>
      <c r="V181">
        <f>IF(OR(O181="N/A",S181="N/A"),"N/A",ROUND(S181/O181*100,1))</f>
      </c>
      <c r="W181">
        <f>IF(COUNT(T181:V181)&gt;0,ROUND(AVERAGE(T181:V181),1),"N/A")</f>
      </c>
      <c r="X181" t="str">
        <v>Kỳ 2 (Kỳ hiện tại)</v>
      </c>
    </row>
    <row r="182">
      <c r="A182">
        <v>181</v>
      </c>
      <c r="B182" t="str">
        <v>BTEC</v>
      </c>
      <c r="C182" t="str">
        <v>BTEC HND</v>
      </c>
      <c r="D182" t="str">
        <v>Cao đẳng Quốc tế Pearson (2 năm)</v>
      </c>
      <c r="E182" t="str">
        <v>BTEC HND</v>
      </c>
      <c r="F182" t="str">
        <v>Năm 1</v>
      </c>
      <c r="G182" t="str">
        <v>SEM 2</v>
      </c>
      <c r="H182" t="str">
        <v>RQF21.MPP</v>
      </c>
      <c r="I182" t="str">
        <v>Marketing Processes and Planning</v>
      </c>
      <c r="J182" t="str">
        <v>Trần Hương Thảo</v>
      </c>
      <c r="K182">
        <v>4</v>
      </c>
      <c r="L182">
        <v>148</v>
      </c>
      <c r="M182">
        <v>95</v>
      </c>
      <c r="N182">
        <v>80</v>
      </c>
      <c r="O182">
        <v>90</v>
      </c>
      <c r="P182">
        <v>80</v>
      </c>
      <c r="Q182">
        <v>79.3</v>
      </c>
      <c r="R182">
        <v>82.6</v>
      </c>
      <c r="S182">
        <v>93.6</v>
      </c>
      <c r="T182">
        <f>IF(OR(M182="N/A",P182="N/A"),"N/A",ROUND(P182/M182*100,1))</f>
      </c>
      <c r="U182">
        <f>IF(OR(N182="N/A",Q182="N/A"),"N/A",ROUND(IF(Q182/N182&gt;=1,Q182/N182,MIN(1,(Q182/N182)+(IF(OR(R182="N/A",R182=""),0,R182/N182))))*100,1))</f>
      </c>
      <c r="V182">
        <f>IF(OR(O182="N/A",S182="N/A"),"N/A",ROUND(S182/O182*100,1))</f>
      </c>
      <c r="W182">
        <f>IF(COUNT(T182:V182)&gt;0,ROUND(AVERAGE(T182:V182),1),"N/A")</f>
      </c>
      <c r="X182" t="str">
        <v>Kỳ 2 (Kỳ hiện tại)</v>
      </c>
    </row>
    <row r="183">
      <c r="A183">
        <v>182</v>
      </c>
      <c r="B183" t="str">
        <v>UWE</v>
      </c>
      <c r="C183" t="str">
        <v>Top-up UWE (ĐH West of England)</v>
      </c>
      <c r="D183" t="str">
        <v>Chuyển tiếp Top-up (Năm cuối)</v>
      </c>
      <c r="E183" t="str">
        <v>I19 MX - IBM</v>
      </c>
      <c r="F183" t="str">
        <v>Năm 4</v>
      </c>
      <c r="G183" t="str">
        <v>SEM 1</v>
      </c>
      <c r="H183" t="str">
        <v>UMCDQ3-15-3</v>
      </c>
      <c r="I183" t="str">
        <v>Academic and Professional Development (APD)</v>
      </c>
      <c r="J183" t="str">
        <v>Vũ Minh Nhật</v>
      </c>
      <c r="K183">
        <v>2</v>
      </c>
      <c r="L183">
        <v>52</v>
      </c>
      <c r="M183">
        <v>95</v>
      </c>
      <c r="N183">
        <v>100</v>
      </c>
      <c r="O183">
        <v>100</v>
      </c>
      <c r="P183">
        <v>100</v>
      </c>
      <c r="Q183">
        <v>94</v>
      </c>
      <c r="R183" t="str">
        <v>N/A</v>
      </c>
      <c r="S183">
        <v>99</v>
      </c>
      <c r="T183">
        <f>IF(OR(M183="N/A",P183="N/A"),"N/A",ROUND(P183/M183*100,1))</f>
      </c>
      <c r="U183">
        <f>IF(OR(N183="N/A",Q183="N/A"),"N/A",ROUND(IF(Q183/N183&gt;=1,Q183/N183,MIN(1,(Q183/N183)+(IF(OR(R183="N/A",R183=""),0,R183/N183))))*100,1))</f>
      </c>
      <c r="V183">
        <f>IF(OR(O183="N/A",S183="N/A"),"N/A",ROUND(S183/O183*100,1))</f>
      </c>
      <c r="W183">
        <f>IF(COUNT(T183:V183)&gt;0,ROUND(AVERAGE(T183:V183),1),"N/A")</f>
      </c>
      <c r="X183" t="str">
        <v>Kỳ học theo khóa</v>
      </c>
    </row>
    <row r="184">
      <c r="A184">
        <v>183</v>
      </c>
      <c r="B184" t="str">
        <v>UWE</v>
      </c>
      <c r="C184" t="str">
        <v>Top-up UWE (ĐH West of England)</v>
      </c>
      <c r="D184" t="str">
        <v>Chuyển tiếp Top-up (Năm cuối)</v>
      </c>
      <c r="E184" t="str">
        <v>I19 MT - BM</v>
      </c>
      <c r="F184" t="str">
        <v>Năm 4</v>
      </c>
      <c r="G184" t="str">
        <v>SEM 1</v>
      </c>
      <c r="H184" t="str">
        <v>UMCDQ3-15-3</v>
      </c>
      <c r="I184" t="str">
        <v>Academic and Professional Development (APD)</v>
      </c>
      <c r="J184" t="str">
        <v>Vũ Minh Nhật</v>
      </c>
      <c r="K184">
        <v>2</v>
      </c>
      <c r="L184">
        <v>40</v>
      </c>
      <c r="M184">
        <v>95</v>
      </c>
      <c r="N184">
        <v>95</v>
      </c>
      <c r="O184">
        <v>100</v>
      </c>
      <c r="P184">
        <v>0</v>
      </c>
      <c r="Q184">
        <v>0</v>
      </c>
      <c r="R184" t="str">
        <v>N/A</v>
      </c>
      <c r="S184">
        <v>0</v>
      </c>
      <c r="T184">
        <f>IF(OR(M184="N/A",P184="N/A"),"N/A",ROUND(P184/M184*100,1))</f>
      </c>
      <c r="U184">
        <f>IF(OR(N184="N/A",Q184="N/A"),"N/A",ROUND(IF(Q184/N184&gt;=1,Q184/N184,MIN(1,(Q184/N184)+(IF(OR(R184="N/A",R184=""),0,R184/N184))))*100,1))</f>
      </c>
      <c r="V184">
        <f>IF(OR(O184="N/A",S184="N/A"),"N/A",ROUND(S184/O184*100,1))</f>
      </c>
      <c r="W184">
        <f>IF(COUNT(T184:V184)&gt;0,ROUND(AVERAGE(T184:V184),1),"N/A")</f>
      </c>
      <c r="X184" t="str">
        <v>Kỳ học theo khóa</v>
      </c>
    </row>
    <row r="185">
      <c r="A185">
        <v>184</v>
      </c>
      <c r="B185" t="str">
        <v>UWE</v>
      </c>
      <c r="C185" t="str">
        <v>Top-up UWE (ĐH West of England)</v>
      </c>
      <c r="D185" t="str">
        <v>Chuyển tiếp Top-up (Năm cuối)</v>
      </c>
      <c r="E185" t="str">
        <v>I20 MX - IBM</v>
      </c>
      <c r="F185" t="str">
        <v>Năm 4</v>
      </c>
      <c r="G185" t="str">
        <v>SEM 1</v>
      </c>
      <c r="H185" t="str">
        <v>UMCDQ3-15-3</v>
      </c>
      <c r="I185" t="str">
        <v>Academic and Professional Development (APD)</v>
      </c>
      <c r="J185" t="str">
        <v>Vũ Minh Nhật</v>
      </c>
      <c r="K185">
        <v>2</v>
      </c>
      <c r="L185">
        <v>45</v>
      </c>
      <c r="M185">
        <v>95</v>
      </c>
      <c r="N185">
        <v>95</v>
      </c>
      <c r="O185">
        <v>100</v>
      </c>
      <c r="P185">
        <v>0</v>
      </c>
      <c r="Q185">
        <v>0</v>
      </c>
      <c r="R185" t="str">
        <v>N/A</v>
      </c>
      <c r="S185">
        <v>0</v>
      </c>
      <c r="T185">
        <f>IF(OR(M185="N/A",P185="N/A"),"N/A",ROUND(P185/M185*100,1))</f>
      </c>
      <c r="U185">
        <f>IF(OR(N185="N/A",Q185="N/A"),"N/A",ROUND(IF(Q185/N185&gt;=1,Q185/N185,MIN(1,(Q185/N185)+(IF(OR(R185="N/A",R185=""),0,R185/N185))))*100,1))</f>
      </c>
      <c r="V185">
        <f>IF(OR(O185="N/A",S185="N/A"),"N/A",ROUND(S185/O185*100,1))</f>
      </c>
      <c r="W185">
        <f>IF(COUNT(T185:V185)&gt;0,ROUND(AVERAGE(T185:V185),1),"N/A")</f>
      </c>
      <c r="X185" t="str">
        <v>Kỳ học theo khóa</v>
      </c>
    </row>
    <row r="186">
      <c r="A186">
        <v>185</v>
      </c>
      <c r="B186" t="str">
        <v>UWE</v>
      </c>
      <c r="C186" t="str">
        <v>Top-up UWE (ĐH West of England)</v>
      </c>
      <c r="D186" t="str">
        <v>Chuyển tiếp Top-up (Năm cuối)</v>
      </c>
      <c r="E186" t="str">
        <v>I19 MX - IBM</v>
      </c>
      <c r="F186" t="str">
        <v>Năm 4</v>
      </c>
      <c r="G186" t="str">
        <v>SEM 1</v>
      </c>
      <c r="H186" t="str">
        <v>UMCDVE-15-3</v>
      </c>
      <c r="I186" t="str">
        <v>Business Project in Theory (BPT)</v>
      </c>
      <c r="J186" t="str">
        <v>Vũ Minh Nhật</v>
      </c>
      <c r="K186">
        <v>3</v>
      </c>
      <c r="L186">
        <v>52</v>
      </c>
      <c r="M186">
        <v>95</v>
      </c>
      <c r="N186">
        <v>90</v>
      </c>
      <c r="O186">
        <v>95</v>
      </c>
      <c r="P186">
        <v>100</v>
      </c>
      <c r="Q186">
        <v>88</v>
      </c>
      <c r="R186" t="str">
        <v>N/A</v>
      </c>
      <c r="S186">
        <v>100</v>
      </c>
      <c r="T186">
        <f>IF(OR(M186="N/A",P186="N/A"),"N/A",ROUND(P186/M186*100,1))</f>
      </c>
      <c r="U186">
        <f>IF(OR(N186="N/A",Q186="N/A"),"N/A",ROUND(IF(Q186/N186&gt;=1,Q186/N186,MIN(1,(Q186/N186)+(IF(OR(R186="N/A",R186=""),0,R186/N186))))*100,1))</f>
      </c>
      <c r="V186">
        <f>IF(OR(O186="N/A",S186="N/A"),"N/A",ROUND(S186/O186*100,1))</f>
      </c>
      <c r="W186">
        <f>IF(COUNT(T186:V186)&gt;0,ROUND(AVERAGE(T186:V186),1),"N/A")</f>
      </c>
      <c r="X186" t="str">
        <v>Kỳ học theo khóa</v>
      </c>
    </row>
    <row r="187">
      <c r="A187">
        <v>186</v>
      </c>
      <c r="B187" t="str">
        <v>UWE</v>
      </c>
      <c r="C187" t="str">
        <v>Top-up UWE (ĐH West of England)</v>
      </c>
      <c r="D187" t="str">
        <v>Chuyển tiếp Top-up (Năm cuối)</v>
      </c>
      <c r="E187" t="str">
        <v>I19 MT - BM</v>
      </c>
      <c r="F187" t="str">
        <v>Năm 4</v>
      </c>
      <c r="G187" t="str">
        <v>SEM 1</v>
      </c>
      <c r="H187" t="str">
        <v>UMCDVE-15-3</v>
      </c>
      <c r="I187" t="str">
        <v>Business Project in Theory (BPT)</v>
      </c>
      <c r="J187" t="str">
        <v>Vũ Minh Nhật</v>
      </c>
      <c r="K187">
        <v>2</v>
      </c>
      <c r="L187">
        <v>40</v>
      </c>
      <c r="M187">
        <v>95</v>
      </c>
      <c r="N187">
        <v>95</v>
      </c>
      <c r="O187">
        <v>100</v>
      </c>
      <c r="P187">
        <v>0</v>
      </c>
      <c r="Q187">
        <v>0</v>
      </c>
      <c r="R187" t="str">
        <v>N/A</v>
      </c>
      <c r="S187">
        <v>0</v>
      </c>
      <c r="T187">
        <f>IF(OR(M187="N/A",P187="N/A"),"N/A",ROUND(P187/M187*100,1))</f>
      </c>
      <c r="U187">
        <f>IF(OR(N187="N/A",Q187="N/A"),"N/A",ROUND(IF(Q187/N187&gt;=1,Q187/N187,MIN(1,(Q187/N187)+(IF(OR(R187="N/A",R187=""),0,R187/N187))))*100,1))</f>
      </c>
      <c r="V187">
        <f>IF(OR(O187="N/A",S187="N/A"),"N/A",ROUND(S187/O187*100,1))</f>
      </c>
      <c r="W187">
        <f>IF(COUNT(T187:V187)&gt;0,ROUND(AVERAGE(T187:V187),1),"N/A")</f>
      </c>
      <c r="X187" t="str">
        <v>Kỳ học theo khóa</v>
      </c>
    </row>
    <row r="188">
      <c r="A188">
        <v>187</v>
      </c>
      <c r="B188" t="str">
        <v>UWE</v>
      </c>
      <c r="C188" t="str">
        <v>Top-up UWE (ĐH West of England)</v>
      </c>
      <c r="D188" t="str">
        <v>Chuyển tiếp Top-up (Năm cuối)</v>
      </c>
      <c r="E188" t="str">
        <v>I20 MX - IBM</v>
      </c>
      <c r="F188" t="str">
        <v>Năm 4</v>
      </c>
      <c r="G188" t="str">
        <v>SEM 1</v>
      </c>
      <c r="H188" t="str">
        <v>UMCDVE-15-3</v>
      </c>
      <c r="I188" t="str">
        <v>Business Project in Theory (BPT)</v>
      </c>
      <c r="J188" t="str">
        <v>Vũ Minh Nhật</v>
      </c>
      <c r="K188">
        <v>2</v>
      </c>
      <c r="L188">
        <v>45</v>
      </c>
      <c r="M188">
        <v>95</v>
      </c>
      <c r="N188">
        <v>95</v>
      </c>
      <c r="O188">
        <v>100</v>
      </c>
      <c r="P188">
        <v>0</v>
      </c>
      <c r="Q188">
        <v>0</v>
      </c>
      <c r="R188" t="str">
        <v>N/A</v>
      </c>
      <c r="S188">
        <v>0</v>
      </c>
      <c r="T188">
        <f>IF(OR(M188="N/A",P188="N/A"),"N/A",ROUND(P188/M188*100,1))</f>
      </c>
      <c r="U188">
        <f>IF(OR(N188="N/A",Q188="N/A"),"N/A",ROUND(IF(Q188/N188&gt;=1,Q188/N188,MIN(1,(Q188/N188)+(IF(OR(R188="N/A",R188=""),0,R188/N188))))*100,1))</f>
      </c>
      <c r="V188">
        <f>IF(OR(O188="N/A",S188="N/A"),"N/A",ROUND(S188/O188*100,1))</f>
      </c>
      <c r="W188">
        <f>IF(COUNT(T188:V188)&gt;0,ROUND(AVERAGE(T188:V188),1),"N/A")</f>
      </c>
      <c r="X188" t="str">
        <v>Kỳ học theo khóa</v>
      </c>
    </row>
    <row r="189">
      <c r="A189">
        <v>188</v>
      </c>
      <c r="B189" t="str">
        <v>UWE</v>
      </c>
      <c r="C189" t="str">
        <v>Top-up UWE (ĐH West of England)</v>
      </c>
      <c r="D189" t="str">
        <v>Chuyển tiếp Top-up (Năm cuối)</v>
      </c>
      <c r="E189" t="str">
        <v>I19 MX - IBM</v>
      </c>
      <c r="F189" t="str">
        <v>Năm 4</v>
      </c>
      <c r="G189" t="str">
        <v>SEM 1</v>
      </c>
      <c r="H189" t="str">
        <v>UMODML-15-3</v>
      </c>
      <c r="I189" t="str">
        <v>Managing Organizational Change (MOC)</v>
      </c>
      <c r="J189" t="str">
        <v>Vũ Minh Nhật</v>
      </c>
      <c r="K189">
        <v>2</v>
      </c>
      <c r="L189">
        <v>52</v>
      </c>
      <c r="M189">
        <v>95</v>
      </c>
      <c r="N189">
        <v>100</v>
      </c>
      <c r="O189">
        <v>100</v>
      </c>
      <c r="P189">
        <v>100</v>
      </c>
      <c r="Q189">
        <v>100</v>
      </c>
      <c r="R189" t="str">
        <v>N/A</v>
      </c>
      <c r="S189">
        <v>100</v>
      </c>
      <c r="T189">
        <f>IF(OR(M189="N/A",P189="N/A"),"N/A",ROUND(P189/M189*100,1))</f>
      </c>
      <c r="U189">
        <f>IF(OR(N189="N/A",Q189="N/A"),"N/A",ROUND(IF(Q189/N189&gt;=1,Q189/N189,MIN(1,(Q189/N189)+(IF(OR(R189="N/A",R189=""),0,R189/N189))))*100,1))</f>
      </c>
      <c r="V189">
        <f>IF(OR(O189="N/A",S189="N/A"),"N/A",ROUND(S189/O189*100,1))</f>
      </c>
      <c r="W189">
        <f>IF(COUNT(T189:V189)&gt;0,ROUND(AVERAGE(T189:V189),1),"N/A")</f>
      </c>
      <c r="X189" t="str">
        <v>Kỳ học theo khóa</v>
      </c>
    </row>
    <row r="190">
      <c r="A190">
        <v>189</v>
      </c>
      <c r="B190" t="str">
        <v>UWE</v>
      </c>
      <c r="C190" t="str">
        <v>Top-up UWE (ĐH West of England)</v>
      </c>
      <c r="D190" t="str">
        <v>Chuyển tiếp Top-up (Năm cuối)</v>
      </c>
      <c r="E190" t="str">
        <v>I19 MT - BM</v>
      </c>
      <c r="F190" t="str">
        <v>Năm 4</v>
      </c>
      <c r="G190" t="str">
        <v>SEM 1</v>
      </c>
      <c r="H190" t="str">
        <v>UMODML-15-3</v>
      </c>
      <c r="I190" t="str">
        <v>Managing Organizational Change (MOC)</v>
      </c>
      <c r="J190" t="str">
        <v>Vũ Minh Nhật</v>
      </c>
      <c r="K190">
        <v>2</v>
      </c>
      <c r="L190">
        <v>40</v>
      </c>
      <c r="M190">
        <v>95</v>
      </c>
      <c r="N190">
        <v>95</v>
      </c>
      <c r="O190">
        <v>100</v>
      </c>
      <c r="P190">
        <v>0</v>
      </c>
      <c r="Q190">
        <v>0</v>
      </c>
      <c r="R190" t="str">
        <v>N/A</v>
      </c>
      <c r="S190">
        <v>0</v>
      </c>
      <c r="T190">
        <f>IF(OR(M190="N/A",P190="N/A"),"N/A",ROUND(P190/M190*100,1))</f>
      </c>
      <c r="U190">
        <f>IF(OR(N190="N/A",Q190="N/A"),"N/A",ROUND(IF(Q190/N190&gt;=1,Q190/N190,MIN(1,(Q190/N190)+(IF(OR(R190="N/A",R190=""),0,R190/N190))))*100,1))</f>
      </c>
      <c r="V190">
        <f>IF(OR(O190="N/A",S190="N/A"),"N/A",ROUND(S190/O190*100,1))</f>
      </c>
      <c r="W190">
        <f>IF(COUNT(T190:V190)&gt;0,ROUND(AVERAGE(T190:V190),1),"N/A")</f>
      </c>
      <c r="X190" t="str">
        <v>Kỳ học theo khóa</v>
      </c>
    </row>
    <row r="191">
      <c r="A191">
        <v>190</v>
      </c>
      <c r="B191" t="str">
        <v>UWE</v>
      </c>
      <c r="C191" t="str">
        <v>Top-up UWE (ĐH West of England)</v>
      </c>
      <c r="D191" t="str">
        <v>Chuyển tiếp Top-up (Năm cuối)</v>
      </c>
      <c r="E191" t="str">
        <v>I20 MX - IBM</v>
      </c>
      <c r="F191" t="str">
        <v>Năm 4</v>
      </c>
      <c r="G191" t="str">
        <v>SEM 1</v>
      </c>
      <c r="H191" t="str">
        <v>UMODML-15-3</v>
      </c>
      <c r="I191" t="str">
        <v>Managing Organizational Change (MOC)</v>
      </c>
      <c r="J191" t="str">
        <v>Vũ Minh Nhật</v>
      </c>
      <c r="K191">
        <v>2</v>
      </c>
      <c r="L191">
        <v>45</v>
      </c>
      <c r="M191">
        <v>95</v>
      </c>
      <c r="N191">
        <v>95</v>
      </c>
      <c r="O191">
        <v>100</v>
      </c>
      <c r="P191">
        <v>0</v>
      </c>
      <c r="Q191">
        <v>0</v>
      </c>
      <c r="R191" t="str">
        <v>N/A</v>
      </c>
      <c r="S191">
        <v>0</v>
      </c>
      <c r="T191">
        <f>IF(OR(M191="N/A",P191="N/A"),"N/A",ROUND(P191/M191*100,1))</f>
      </c>
      <c r="U191">
        <f>IF(OR(N191="N/A",Q191="N/A"),"N/A",ROUND(IF(Q191/N191&gt;=1,Q191/N191,MIN(1,(Q191/N191)+(IF(OR(R191="N/A",R191=""),0,R191/N191))))*100,1))</f>
      </c>
      <c r="V191">
        <f>IF(OR(O191="N/A",S191="N/A"),"N/A",ROUND(S191/O191*100,1))</f>
      </c>
      <c r="W191">
        <f>IF(COUNT(T191:V191)&gt;0,ROUND(AVERAGE(T191:V191),1),"N/A")</f>
      </c>
      <c r="X191" t="str">
        <v>Kỳ học theo khóa</v>
      </c>
    </row>
    <row r="192">
      <c r="A192">
        <v>191</v>
      </c>
      <c r="B192" t="str">
        <v>UWE</v>
      </c>
      <c r="C192" t="str">
        <v>Top-up UWE (ĐH West of England)</v>
      </c>
      <c r="D192" t="str">
        <v>Chuyển tiếp Top-up (Năm cuối)</v>
      </c>
      <c r="E192" t="str">
        <v>I19 MX - IBM</v>
      </c>
      <c r="F192" t="str">
        <v>Năm 4</v>
      </c>
      <c r="G192" t="str">
        <v>SEM 1</v>
      </c>
      <c r="H192" t="str">
        <v>UMSDQ5-15-3</v>
      </c>
      <c r="I192" t="str">
        <v>Business Strategy (BS)</v>
      </c>
      <c r="J192" t="str">
        <v>Vũ Minh Nhật</v>
      </c>
      <c r="K192">
        <v>2</v>
      </c>
      <c r="L192">
        <v>52</v>
      </c>
      <c r="M192">
        <v>95</v>
      </c>
      <c r="N192">
        <v>100</v>
      </c>
      <c r="O192">
        <v>100</v>
      </c>
      <c r="P192">
        <v>98</v>
      </c>
      <c r="Q192">
        <v>99</v>
      </c>
      <c r="R192" t="str">
        <v>N/A</v>
      </c>
      <c r="S192">
        <v>99</v>
      </c>
      <c r="T192">
        <f>IF(OR(M192="N/A",P192="N/A"),"N/A",ROUND(P192/M192*100,1))</f>
      </c>
      <c r="U192">
        <f>IF(OR(N192="N/A",Q192="N/A"),"N/A",ROUND(IF(Q192/N192&gt;=1,Q192/N192,MIN(1,(Q192/N192)+(IF(OR(R192="N/A",R192=""),0,R192/N192))))*100,1))</f>
      </c>
      <c r="V192">
        <f>IF(OR(O192="N/A",S192="N/A"),"N/A",ROUND(S192/O192*100,1))</f>
      </c>
      <c r="W192">
        <f>IF(COUNT(T192:V192)&gt;0,ROUND(AVERAGE(T192:V192),1),"N/A")</f>
      </c>
      <c r="X192" t="str">
        <v>Kỳ học theo khóa</v>
      </c>
    </row>
    <row r="193">
      <c r="A193">
        <v>192</v>
      </c>
      <c r="B193" t="str">
        <v>UWE</v>
      </c>
      <c r="C193" t="str">
        <v>Top-up UWE (ĐH West of England)</v>
      </c>
      <c r="D193" t="str">
        <v>Chuyển tiếp Top-up (Năm cuối)</v>
      </c>
      <c r="E193" t="str">
        <v>I19 MT - BM</v>
      </c>
      <c r="F193" t="str">
        <v>Năm 4</v>
      </c>
      <c r="G193" t="str">
        <v>SEM 1</v>
      </c>
      <c r="H193" t="str">
        <v>UMSDQ5-15-3</v>
      </c>
      <c r="I193" t="str">
        <v>Business Strategy (BS)</v>
      </c>
      <c r="J193" t="str">
        <v>Vũ Minh Nhật</v>
      </c>
      <c r="K193">
        <v>2</v>
      </c>
      <c r="L193">
        <v>40</v>
      </c>
      <c r="M193">
        <v>95</v>
      </c>
      <c r="N193">
        <v>95</v>
      </c>
      <c r="O193">
        <v>100</v>
      </c>
      <c r="P193">
        <v>0</v>
      </c>
      <c r="Q193">
        <v>0</v>
      </c>
      <c r="R193" t="str">
        <v>N/A</v>
      </c>
      <c r="S193">
        <v>0</v>
      </c>
      <c r="T193">
        <f>IF(OR(M193="N/A",P193="N/A"),"N/A",ROUND(P193/M193*100,1))</f>
      </c>
      <c r="U193">
        <f>IF(OR(N193="N/A",Q193="N/A"),"N/A",ROUND(IF(Q193/N193&gt;=1,Q193/N193,MIN(1,(Q193/N193)+(IF(OR(R193="N/A",R193=""),0,R193/N193))))*100,1))</f>
      </c>
      <c r="V193">
        <f>IF(OR(O193="N/A",S193="N/A"),"N/A",ROUND(S193/O193*100,1))</f>
      </c>
      <c r="W193">
        <f>IF(COUNT(T193:V193)&gt;0,ROUND(AVERAGE(T193:V193),1),"N/A")</f>
      </c>
      <c r="X193" t="str">
        <v>Kỳ học theo khóa</v>
      </c>
    </row>
    <row r="194">
      <c r="A194">
        <v>193</v>
      </c>
      <c r="B194" t="str">
        <v>UWE</v>
      </c>
      <c r="C194" t="str">
        <v>Top-up UWE (ĐH West of England)</v>
      </c>
      <c r="D194" t="str">
        <v>Chuyển tiếp Top-up (Năm cuối)</v>
      </c>
      <c r="E194" t="str">
        <v>I20 MX - IBM</v>
      </c>
      <c r="F194" t="str">
        <v>Năm 4</v>
      </c>
      <c r="G194" t="str">
        <v>SEM 1</v>
      </c>
      <c r="H194" t="str">
        <v>UMSDQ5-15-3</v>
      </c>
      <c r="I194" t="str">
        <v>Business Strategy (BS)</v>
      </c>
      <c r="J194" t="str">
        <v>Vũ Minh Nhật</v>
      </c>
      <c r="K194">
        <v>2</v>
      </c>
      <c r="L194">
        <v>45</v>
      </c>
      <c r="M194">
        <v>95</v>
      </c>
      <c r="N194">
        <v>95</v>
      </c>
      <c r="O194">
        <v>100</v>
      </c>
      <c r="P194">
        <v>0</v>
      </c>
      <c r="Q194">
        <v>0</v>
      </c>
      <c r="R194" t="str">
        <v>N/A</v>
      </c>
      <c r="S194">
        <v>0</v>
      </c>
      <c r="T194">
        <f>IF(OR(M194="N/A",P194="N/A"),"N/A",ROUND(P194/M194*100,1))</f>
      </c>
      <c r="U194">
        <f>IF(OR(N194="N/A",Q194="N/A"),"N/A",ROUND(IF(Q194/N194&gt;=1,Q194/N194,MIN(1,(Q194/N194)+(IF(OR(R194="N/A",R194=""),0,R194/N194))))*100,1))</f>
      </c>
      <c r="V194">
        <f>IF(OR(O194="N/A",S194="N/A"),"N/A",ROUND(S194/O194*100,1))</f>
      </c>
      <c r="W194">
        <f>IF(COUNT(T194:V194)&gt;0,ROUND(AVERAGE(T194:V194),1),"N/A")</f>
      </c>
      <c r="X194" t="str">
        <v>Kỳ học theo khóa</v>
      </c>
    </row>
    <row r="195">
      <c r="A195">
        <v>194</v>
      </c>
      <c r="B195" t="str">
        <v>UWE</v>
      </c>
      <c r="C195" t="str">
        <v>Top-up UWE (ĐH West of England)</v>
      </c>
      <c r="D195" t="str">
        <v>Chuyển tiếp Top-up (Năm cuối)</v>
      </c>
      <c r="E195" t="str">
        <v>I18 MT - IBM</v>
      </c>
      <c r="F195" t="str">
        <v>Năm 4</v>
      </c>
      <c r="G195" t="str">
        <v>SEM 2</v>
      </c>
      <c r="H195" t="str">
        <v>UMCDVF-15-3</v>
      </c>
      <c r="I195" t="str">
        <v>Business Project (BP)</v>
      </c>
      <c r="J195" t="str">
        <v>Vũ Minh Nhật</v>
      </c>
      <c r="K195">
        <v>2</v>
      </c>
      <c r="L195">
        <v>34</v>
      </c>
      <c r="M195">
        <v>95</v>
      </c>
      <c r="N195">
        <v>90</v>
      </c>
      <c r="O195">
        <v>95</v>
      </c>
      <c r="P195">
        <v>100</v>
      </c>
      <c r="Q195">
        <v>100</v>
      </c>
      <c r="R195" t="str">
        <v>N/A</v>
      </c>
      <c r="S195">
        <v>100</v>
      </c>
      <c r="T195">
        <f>IF(OR(M195="N/A",P195="N/A"),"N/A",ROUND(P195/M195*100,1))</f>
      </c>
      <c r="U195">
        <f>IF(OR(N195="N/A",Q195="N/A"),"N/A",ROUND(IF(Q195/N195&gt;=1,Q195/N195,MIN(1,(Q195/N195)+(IF(OR(R195="N/A",R195=""),0,R195/N195))))*100,1))</f>
      </c>
      <c r="V195">
        <f>IF(OR(O195="N/A",S195="N/A"),"N/A",ROUND(S195/O195*100,1))</f>
      </c>
      <c r="W195">
        <f>IF(COUNT(T195:V195)&gt;0,ROUND(AVERAGE(T195:V195),1),"N/A")</f>
      </c>
      <c r="X195" t="str">
        <v>Kỳ 2 (Kỳ hiện tại)</v>
      </c>
    </row>
    <row r="196">
      <c r="A196">
        <v>195</v>
      </c>
      <c r="B196" t="str">
        <v>UWE</v>
      </c>
      <c r="C196" t="str">
        <v>Top-up UWE (ĐH West of England)</v>
      </c>
      <c r="D196" t="str">
        <v>Chuyển tiếp Top-up (Năm cuối)</v>
      </c>
      <c r="E196" t="str">
        <v>I19 MX - IBM</v>
      </c>
      <c r="F196" t="str">
        <v>Năm 4</v>
      </c>
      <c r="G196" t="str">
        <v>SEM 2</v>
      </c>
      <c r="H196" t="str">
        <v>UMCDVF-15-3</v>
      </c>
      <c r="I196" t="str">
        <v>Business Project (BP)</v>
      </c>
      <c r="J196" t="str">
        <v>Vũ Minh Nhật</v>
      </c>
      <c r="K196">
        <v>2</v>
      </c>
      <c r="L196">
        <v>52</v>
      </c>
      <c r="M196">
        <v>95</v>
      </c>
      <c r="N196">
        <v>95</v>
      </c>
      <c r="O196">
        <v>100</v>
      </c>
      <c r="P196">
        <v>0</v>
      </c>
      <c r="Q196">
        <v>0</v>
      </c>
      <c r="R196" t="str">
        <v>N/A</v>
      </c>
      <c r="S196">
        <v>0</v>
      </c>
      <c r="T196">
        <f>IF(OR(M196="N/A",P196="N/A"),"N/A",ROUND(P196/M196*100,1))</f>
      </c>
      <c r="U196">
        <f>IF(OR(N196="N/A",Q196="N/A"),"N/A",ROUND(IF(Q196/N196&gt;=1,Q196/N196,MIN(1,(Q196/N196)+(IF(OR(R196="N/A",R196=""),0,R196/N196))))*100,1))</f>
      </c>
      <c r="V196">
        <f>IF(OR(O196="N/A",S196="N/A"),"N/A",ROUND(S196/O196*100,1))</f>
      </c>
      <c r="W196">
        <f>IF(COUNT(T196:V196)&gt;0,ROUND(AVERAGE(T196:V196),1),"N/A")</f>
      </c>
      <c r="X196" t="str">
        <v>Kỳ 2 (Kỳ hiện tại)</v>
      </c>
    </row>
    <row r="197">
      <c r="A197">
        <v>196</v>
      </c>
      <c r="B197" t="str">
        <v>UWE</v>
      </c>
      <c r="C197" t="str">
        <v>Top-up UWE (ĐH West of England)</v>
      </c>
      <c r="D197" t="str">
        <v>Chuyển tiếp Top-up (Năm cuối)</v>
      </c>
      <c r="E197" t="str">
        <v>I19 MT - BM</v>
      </c>
      <c r="F197" t="str">
        <v>Năm 4</v>
      </c>
      <c r="G197" t="str">
        <v>SEM 2</v>
      </c>
      <c r="H197" t="str">
        <v>UMCDVF-15-3</v>
      </c>
      <c r="I197" t="str">
        <v>Business Project (BP)</v>
      </c>
      <c r="J197" t="str">
        <v>Vũ Minh Nhật</v>
      </c>
      <c r="K197">
        <v>2</v>
      </c>
      <c r="L197">
        <v>40</v>
      </c>
      <c r="M197">
        <v>95</v>
      </c>
      <c r="N197">
        <v>95</v>
      </c>
      <c r="O197">
        <v>100</v>
      </c>
      <c r="P197">
        <v>0</v>
      </c>
      <c r="Q197">
        <v>0</v>
      </c>
      <c r="R197" t="str">
        <v>N/A</v>
      </c>
      <c r="S197">
        <v>0</v>
      </c>
      <c r="T197">
        <f>IF(OR(M197="N/A",P197="N/A"),"N/A",ROUND(P197/M197*100,1))</f>
      </c>
      <c r="U197">
        <f>IF(OR(N197="N/A",Q197="N/A"),"N/A",ROUND(IF(Q197/N197&gt;=1,Q197/N197,MIN(1,(Q197/N197)+(IF(OR(R197="N/A",R197=""),0,R197/N197))))*100,1))</f>
      </c>
      <c r="V197">
        <f>IF(OR(O197="N/A",S197="N/A"),"N/A",ROUND(S197/O197*100,1))</f>
      </c>
      <c r="W197">
        <f>IF(COUNT(T197:V197)&gt;0,ROUND(AVERAGE(T197:V197),1),"N/A")</f>
      </c>
      <c r="X197" t="str">
        <v>Kỳ 2 (Kỳ hiện tại)</v>
      </c>
    </row>
    <row r="198">
      <c r="A198">
        <v>197</v>
      </c>
      <c r="B198" t="str">
        <v>UWE</v>
      </c>
      <c r="C198" t="str">
        <v>Top-up UWE (ĐH West of England)</v>
      </c>
      <c r="D198" t="str">
        <v>Chuyển tiếp Top-up (Năm cuối)</v>
      </c>
      <c r="E198" t="str">
        <v>I20 MX - IBM</v>
      </c>
      <c r="F198" t="str">
        <v>Năm 4</v>
      </c>
      <c r="G198" t="str">
        <v>SEM 2</v>
      </c>
      <c r="H198" t="str">
        <v>UMCDVF-15-3</v>
      </c>
      <c r="I198" t="str">
        <v>Business Project (BP)</v>
      </c>
      <c r="J198" t="str">
        <v>Vũ Minh Nhật</v>
      </c>
      <c r="K198">
        <v>2</v>
      </c>
      <c r="L198">
        <v>45</v>
      </c>
      <c r="M198">
        <v>95</v>
      </c>
      <c r="N198">
        <v>95</v>
      </c>
      <c r="O198">
        <v>100</v>
      </c>
      <c r="P198">
        <v>0</v>
      </c>
      <c r="Q198">
        <v>0</v>
      </c>
      <c r="R198" t="str">
        <v>N/A</v>
      </c>
      <c r="S198">
        <v>0</v>
      </c>
      <c r="T198">
        <f>IF(OR(M198="N/A",P198="N/A"),"N/A",ROUND(P198/M198*100,1))</f>
      </c>
      <c r="U198">
        <f>IF(OR(N198="N/A",Q198="N/A"),"N/A",ROUND(IF(Q198/N198&gt;=1,Q198/N198,MIN(1,(Q198/N198)+(IF(OR(R198="N/A",R198=""),0,R198/N198))))*100,1))</f>
      </c>
      <c r="V198">
        <f>IF(OR(O198="N/A",S198="N/A"),"N/A",ROUND(S198/O198*100,1))</f>
      </c>
      <c r="W198">
        <f>IF(COUNT(T198:V198)&gt;0,ROUND(AVERAGE(T198:V198),1),"N/A")</f>
      </c>
      <c r="X198" t="str">
        <v>Kỳ 2 (Kỳ hiện tại)</v>
      </c>
    </row>
    <row r="199">
      <c r="A199">
        <v>198</v>
      </c>
      <c r="B199" t="str">
        <v>UWE</v>
      </c>
      <c r="C199" t="str">
        <v>Top-up UWE (ĐH West of England)</v>
      </c>
      <c r="D199" t="str">
        <v>Chuyển tiếp Top-up (Năm cuối)</v>
      </c>
      <c r="E199" t="str">
        <v>I18 MT - IBM</v>
      </c>
      <c r="F199" t="str">
        <v>Năm 4</v>
      </c>
      <c r="G199" t="str">
        <v>SEM 2</v>
      </c>
      <c r="H199" t="str">
        <v>UMKD6Q-15-3</v>
      </c>
      <c r="I199" t="str">
        <v>Global Marketing Management (GMM)</v>
      </c>
      <c r="J199" t="str">
        <v>Vũ Minh Nhật</v>
      </c>
      <c r="K199">
        <v>2</v>
      </c>
      <c r="L199">
        <v>34</v>
      </c>
      <c r="M199">
        <v>95</v>
      </c>
      <c r="N199">
        <v>100</v>
      </c>
      <c r="O199">
        <v>95</v>
      </c>
      <c r="P199">
        <v>100</v>
      </c>
      <c r="Q199">
        <v>99</v>
      </c>
      <c r="R199" t="str">
        <v>N/A</v>
      </c>
      <c r="S199">
        <v>96</v>
      </c>
      <c r="T199">
        <f>IF(OR(M199="N/A",P199="N/A"),"N/A",ROUND(P199/M199*100,1))</f>
      </c>
      <c r="U199">
        <f>IF(OR(N199="N/A",Q199="N/A"),"N/A",ROUND(IF(Q199/N199&gt;=1,Q199/N199,MIN(1,(Q199/N199)+(IF(OR(R199="N/A",R199=""),0,R199/N199))))*100,1))</f>
      </c>
      <c r="V199">
        <f>IF(OR(O199="N/A",S199="N/A"),"N/A",ROUND(S199/O199*100,1))</f>
      </c>
      <c r="W199">
        <f>IF(COUNT(T199:V199)&gt;0,ROUND(AVERAGE(T199:V199),1),"N/A")</f>
      </c>
      <c r="X199" t="str">
        <v>Kỳ 2 (Kỳ hiện tại)</v>
      </c>
    </row>
    <row r="200">
      <c r="A200">
        <v>199</v>
      </c>
      <c r="B200" t="str">
        <v>UWE</v>
      </c>
      <c r="C200" t="str">
        <v>Top-up UWE (ĐH West of England)</v>
      </c>
      <c r="D200" t="str">
        <v>Chuyển tiếp Top-up (Năm cuối)</v>
      </c>
      <c r="E200" t="str">
        <v>I19 MX - IBM</v>
      </c>
      <c r="F200" t="str">
        <v>Năm 4</v>
      </c>
      <c r="G200" t="str">
        <v>SEM 2</v>
      </c>
      <c r="H200" t="str">
        <v>UMKD6Q-15-3</v>
      </c>
      <c r="I200" t="str">
        <v>Global Marketing Management (GMM)</v>
      </c>
      <c r="J200" t="str">
        <v>Vũ Minh Nhật</v>
      </c>
      <c r="K200">
        <v>2</v>
      </c>
      <c r="L200">
        <v>52</v>
      </c>
      <c r="M200">
        <v>95</v>
      </c>
      <c r="N200">
        <v>95</v>
      </c>
      <c r="O200">
        <v>100</v>
      </c>
      <c r="P200">
        <v>0</v>
      </c>
      <c r="Q200">
        <v>0</v>
      </c>
      <c r="R200" t="str">
        <v>N/A</v>
      </c>
      <c r="S200">
        <v>0</v>
      </c>
      <c r="T200">
        <f>IF(OR(M200="N/A",P200="N/A"),"N/A",ROUND(P200/M200*100,1))</f>
      </c>
      <c r="U200">
        <f>IF(OR(N200="N/A",Q200="N/A"),"N/A",ROUND(IF(Q200/N200&gt;=1,Q200/N200,MIN(1,(Q200/N200)+(IF(OR(R200="N/A",R200=""),0,R200/N200))))*100,1))</f>
      </c>
      <c r="V200">
        <f>IF(OR(O200="N/A",S200="N/A"),"N/A",ROUND(S200/O200*100,1))</f>
      </c>
      <c r="W200">
        <f>IF(COUNT(T200:V200)&gt;0,ROUND(AVERAGE(T200:V200),1),"N/A")</f>
      </c>
      <c r="X200" t="str">
        <v>Kỳ 2 (Kỳ hiện tại)</v>
      </c>
    </row>
    <row r="201">
      <c r="A201">
        <v>200</v>
      </c>
      <c r="B201" t="str">
        <v>UWE</v>
      </c>
      <c r="C201" t="str">
        <v>Top-up UWE (ĐH West of England)</v>
      </c>
      <c r="D201" t="str">
        <v>Chuyển tiếp Top-up (Năm cuối)</v>
      </c>
      <c r="E201" t="str">
        <v>I20 MX - IBM</v>
      </c>
      <c r="F201" t="str">
        <v>Năm 4</v>
      </c>
      <c r="G201" t="str">
        <v>SEM 2</v>
      </c>
      <c r="H201" t="str">
        <v>UMKD6Q-15-3</v>
      </c>
      <c r="I201" t="str">
        <v>Global Marketing Management (GMM)</v>
      </c>
      <c r="J201" t="str">
        <v>Vũ Minh Nhật</v>
      </c>
      <c r="K201">
        <v>2</v>
      </c>
      <c r="L201">
        <v>45</v>
      </c>
      <c r="M201">
        <v>95</v>
      </c>
      <c r="N201">
        <v>95</v>
      </c>
      <c r="O201">
        <v>100</v>
      </c>
      <c r="P201">
        <v>0</v>
      </c>
      <c r="Q201">
        <v>0</v>
      </c>
      <c r="R201" t="str">
        <v>N/A</v>
      </c>
      <c r="S201">
        <v>0</v>
      </c>
      <c r="T201">
        <f>IF(OR(M201="N/A",P201="N/A"),"N/A",ROUND(P201/M201*100,1))</f>
      </c>
      <c r="U201">
        <f>IF(OR(N201="N/A",Q201="N/A"),"N/A",ROUND(IF(Q201/N201&gt;=1,Q201/N201,MIN(1,(Q201/N201)+(IF(OR(R201="N/A",R201=""),0,R201/N201))))*100,1))</f>
      </c>
      <c r="V201">
        <f>IF(OR(O201="N/A",S201="N/A"),"N/A",ROUND(S201/O201*100,1))</f>
      </c>
      <c r="W201">
        <f>IF(COUNT(T201:V201)&gt;0,ROUND(AVERAGE(T201:V201),1),"N/A")</f>
      </c>
      <c r="X201" t="str">
        <v>Kỳ 2 (Kỳ hiện tại)</v>
      </c>
    </row>
    <row r="202">
      <c r="A202">
        <v>201</v>
      </c>
      <c r="B202" t="str">
        <v>UWE</v>
      </c>
      <c r="C202" t="str">
        <v>Top-up UWE (ĐH West of England)</v>
      </c>
      <c r="D202" t="str">
        <v>Chuyển tiếp Top-up (Năm cuối)</v>
      </c>
      <c r="E202" t="str">
        <v>I19 MT - BM</v>
      </c>
      <c r="F202" t="str">
        <v>Năm 4</v>
      </c>
      <c r="G202" t="str">
        <v>SEM 2</v>
      </c>
      <c r="H202" t="str">
        <v>UMKD6R-15-3</v>
      </c>
      <c r="I202" t="str">
        <v>Marketing Services and the Customer Experience</v>
      </c>
      <c r="J202" t="str">
        <v>Vũ Minh Nhật</v>
      </c>
      <c r="K202">
        <v>2</v>
      </c>
      <c r="L202">
        <v>40</v>
      </c>
      <c r="M202">
        <v>95</v>
      </c>
      <c r="N202">
        <v>95</v>
      </c>
      <c r="O202">
        <v>100</v>
      </c>
      <c r="P202">
        <v>0</v>
      </c>
      <c r="Q202">
        <v>0</v>
      </c>
      <c r="R202" t="str">
        <v>N/A</v>
      </c>
      <c r="S202">
        <v>0</v>
      </c>
      <c r="T202">
        <f>IF(OR(M202="N/A",P202="N/A"),"N/A",ROUND(P202/M202*100,1))</f>
      </c>
      <c r="U202">
        <f>IF(OR(N202="N/A",Q202="N/A"),"N/A",ROUND(IF(Q202/N202&gt;=1,Q202/N202,MIN(1,(Q202/N202)+(IF(OR(R202="N/A",R202=""),0,R202/N202))))*100,1))</f>
      </c>
      <c r="V202">
        <f>IF(OR(O202="N/A",S202="N/A"),"N/A",ROUND(S202/O202*100,1))</f>
      </c>
      <c r="W202">
        <f>IF(COUNT(T202:V202)&gt;0,ROUND(AVERAGE(T202:V202),1),"N/A")</f>
      </c>
      <c r="X202" t="str">
        <v>Kỳ 2 (Kỳ hiện tại)</v>
      </c>
    </row>
    <row r="203">
      <c r="A203">
        <v>202</v>
      </c>
      <c r="B203" t="str">
        <v>UWE</v>
      </c>
      <c r="C203" t="str">
        <v>Top-up UWE (ĐH West of England)</v>
      </c>
      <c r="D203" t="str">
        <v>Chuyển tiếp Top-up (Năm cuối)</v>
      </c>
      <c r="E203" t="str">
        <v>I19 MT - BM</v>
      </c>
      <c r="F203" t="str">
        <v>Năm 4</v>
      </c>
      <c r="G203" t="str">
        <v>SEM 2</v>
      </c>
      <c r="H203" t="str">
        <v>UMSD89-15-3</v>
      </c>
      <c r="I203" t="str">
        <v>Virtual Business</v>
      </c>
      <c r="J203" t="str">
        <v>Vũ Minh Nhật</v>
      </c>
      <c r="K203">
        <v>2</v>
      </c>
      <c r="L203">
        <v>40</v>
      </c>
      <c r="M203">
        <v>95</v>
      </c>
      <c r="N203">
        <v>95</v>
      </c>
      <c r="O203">
        <v>100</v>
      </c>
      <c r="P203">
        <v>0</v>
      </c>
      <c r="Q203">
        <v>0</v>
      </c>
      <c r="R203" t="str">
        <v>N/A</v>
      </c>
      <c r="S203">
        <v>0</v>
      </c>
      <c r="T203">
        <f>IF(OR(M203="N/A",P203="N/A"),"N/A",ROUND(P203/M203*100,1))</f>
      </c>
      <c r="U203">
        <f>IF(OR(N203="N/A",Q203="N/A"),"N/A",ROUND(IF(Q203/N203&gt;=1,Q203/N203,MIN(1,(Q203/N203)+(IF(OR(R203="N/A",R203=""),0,R203/N203))))*100,1))</f>
      </c>
      <c r="V203">
        <f>IF(OR(O203="N/A",S203="N/A"),"N/A",ROUND(S203/O203*100,1))</f>
      </c>
      <c r="W203">
        <f>IF(COUNT(T203:V203)&gt;0,ROUND(AVERAGE(T203:V203),1),"N/A")</f>
      </c>
      <c r="X203" t="str">
        <v>Kỳ 2 (Kỳ hiện tại)</v>
      </c>
    </row>
    <row r="204">
      <c r="A204">
        <v>203</v>
      </c>
      <c r="B204" t="str">
        <v>UWE</v>
      </c>
      <c r="C204" t="str">
        <v>Top-up UWE (ĐH West of England)</v>
      </c>
      <c r="D204" t="str">
        <v>Chuyển tiếp Top-up (Năm cuối)</v>
      </c>
      <c r="E204" t="str">
        <v>I18 MT - IBM</v>
      </c>
      <c r="F204" t="str">
        <v>Năm 4</v>
      </c>
      <c r="G204" t="str">
        <v>SEM 2</v>
      </c>
      <c r="H204" t="str">
        <v>UMSD9F-15-3</v>
      </c>
      <c r="I204" t="str">
        <v>Multinationals in the Domestic and Global Context (MDGC)</v>
      </c>
      <c r="J204" t="str">
        <v>Vũ Minh Nhật</v>
      </c>
      <c r="K204">
        <v>2</v>
      </c>
      <c r="L204">
        <v>34</v>
      </c>
      <c r="M204">
        <v>95</v>
      </c>
      <c r="N204">
        <v>100</v>
      </c>
      <c r="O204">
        <v>95</v>
      </c>
      <c r="P204">
        <v>100</v>
      </c>
      <c r="Q204">
        <v>100</v>
      </c>
      <c r="R204" t="str">
        <v>N/A</v>
      </c>
      <c r="S204">
        <v>100</v>
      </c>
      <c r="T204">
        <f>IF(OR(M204="N/A",P204="N/A"),"N/A",ROUND(P204/M204*100,1))</f>
      </c>
      <c r="U204">
        <f>IF(OR(N204="N/A",Q204="N/A"),"N/A",ROUND(IF(Q204/N204&gt;=1,Q204/N204,MIN(1,(Q204/N204)+(IF(OR(R204="N/A",R204=""),0,R204/N204))))*100,1))</f>
      </c>
      <c r="V204">
        <f>IF(OR(O204="N/A",S204="N/A"),"N/A",ROUND(S204/O204*100,1))</f>
      </c>
      <c r="W204">
        <f>IF(COUNT(T204:V204)&gt;0,ROUND(AVERAGE(T204:V204),1),"N/A")</f>
      </c>
      <c r="X204" t="str">
        <v>Kỳ 2 (Kỳ hiện tại)</v>
      </c>
    </row>
    <row r="205">
      <c r="A205">
        <v>204</v>
      </c>
      <c r="B205" t="str">
        <v>UWE</v>
      </c>
      <c r="C205" t="str">
        <v>Top-up UWE (ĐH West of England)</v>
      </c>
      <c r="D205" t="str">
        <v>Chuyển tiếp Top-up (Năm cuối)</v>
      </c>
      <c r="E205" t="str">
        <v>I19 MX - IBM</v>
      </c>
      <c r="F205" t="str">
        <v>Năm 4</v>
      </c>
      <c r="G205" t="str">
        <v>SEM 2</v>
      </c>
      <c r="H205" t="str">
        <v>UMSD9F-15-3</v>
      </c>
      <c r="I205" t="str">
        <v>Multinationals in the Domestic and Global Context (MDGC)</v>
      </c>
      <c r="J205" t="str">
        <v>Vũ Minh Nhật</v>
      </c>
      <c r="K205">
        <v>2</v>
      </c>
      <c r="L205">
        <v>52</v>
      </c>
      <c r="M205">
        <v>95</v>
      </c>
      <c r="N205">
        <v>95</v>
      </c>
      <c r="O205">
        <v>100</v>
      </c>
      <c r="P205">
        <v>0</v>
      </c>
      <c r="Q205">
        <v>0</v>
      </c>
      <c r="R205" t="str">
        <v>N/A</v>
      </c>
      <c r="S205">
        <v>0</v>
      </c>
      <c r="T205">
        <f>IF(OR(M205="N/A",P205="N/A"),"N/A",ROUND(P205/M205*100,1))</f>
      </c>
      <c r="U205">
        <f>IF(OR(N205="N/A",Q205="N/A"),"N/A",ROUND(IF(Q205/N205&gt;=1,Q205/N205,MIN(1,(Q205/N205)+(IF(OR(R205="N/A",R205=""),0,R205/N205))))*100,1))</f>
      </c>
      <c r="V205">
        <f>IF(OR(O205="N/A",S205="N/A"),"N/A",ROUND(S205/O205*100,1))</f>
      </c>
      <c r="W205">
        <f>IF(COUNT(T205:V205)&gt;0,ROUND(AVERAGE(T205:V205),1),"N/A")</f>
      </c>
      <c r="X205" t="str">
        <v>Kỳ 2 (Kỳ hiện tại)</v>
      </c>
    </row>
    <row r="206">
      <c r="A206">
        <v>205</v>
      </c>
      <c r="B206" t="str">
        <v>UWE</v>
      </c>
      <c r="C206" t="str">
        <v>Top-up UWE (ĐH West of England)</v>
      </c>
      <c r="D206" t="str">
        <v>Chuyển tiếp Top-up (Năm cuối)</v>
      </c>
      <c r="E206" t="str">
        <v>I20 MX - IBM</v>
      </c>
      <c r="F206" t="str">
        <v>Năm 4</v>
      </c>
      <c r="G206" t="str">
        <v>SEM 2</v>
      </c>
      <c r="H206" t="str">
        <v>UMSD9F-15-3</v>
      </c>
      <c r="I206" t="str">
        <v>Multinationals in the Domestic and Global Context (MDGC)</v>
      </c>
      <c r="J206" t="str">
        <v>Vũ Minh Nhật</v>
      </c>
      <c r="K206">
        <v>2</v>
      </c>
      <c r="L206">
        <v>45</v>
      </c>
      <c r="M206">
        <v>95</v>
      </c>
      <c r="N206">
        <v>95</v>
      </c>
      <c r="O206">
        <v>100</v>
      </c>
      <c r="P206">
        <v>0</v>
      </c>
      <c r="Q206">
        <v>0</v>
      </c>
      <c r="R206" t="str">
        <v>N/A</v>
      </c>
      <c r="S206">
        <v>0</v>
      </c>
      <c r="T206">
        <f>IF(OR(M206="N/A",P206="N/A"),"N/A",ROUND(P206/M206*100,1))</f>
      </c>
      <c r="U206">
        <f>IF(OR(N206="N/A",Q206="N/A"),"N/A",ROUND(IF(Q206/N206&gt;=1,Q206/N206,MIN(1,(Q206/N206)+(IF(OR(R206="N/A",R206=""),0,R206/N206))))*100,1))</f>
      </c>
      <c r="V206">
        <f>IF(OR(O206="N/A",S206="N/A"),"N/A",ROUND(S206/O206*100,1))</f>
      </c>
      <c r="W206">
        <f>IF(COUNT(T206:V206)&gt;0,ROUND(AVERAGE(T206:V206),1),"N/A")</f>
      </c>
      <c r="X206" t="str">
        <v>Kỳ 2 (Kỳ hiện tại)</v>
      </c>
    </row>
    <row r="207">
      <c r="A207">
        <v>206</v>
      </c>
      <c r="B207" t="str">
        <v>UWE</v>
      </c>
      <c r="C207" t="str">
        <v>Top-up UWE (ĐH West of England)</v>
      </c>
      <c r="D207" t="str">
        <v>Chuyển tiếp Top-up (Năm cuối)</v>
      </c>
      <c r="E207" t="str">
        <v>I18 MT - IBM</v>
      </c>
      <c r="F207" t="str">
        <v>Năm 4</v>
      </c>
      <c r="G207" t="str">
        <v>SEM 2</v>
      </c>
      <c r="H207" t="str">
        <v>UMSDMK-15-3</v>
      </c>
      <c r="I207" t="str">
        <v>Integrated Business Management Simulation (IBMS)</v>
      </c>
      <c r="J207" t="str">
        <v>Vũ Minh Nhật</v>
      </c>
      <c r="K207">
        <v>2</v>
      </c>
      <c r="L207">
        <v>34</v>
      </c>
      <c r="M207">
        <v>95</v>
      </c>
      <c r="N207">
        <v>100</v>
      </c>
      <c r="O207">
        <v>95</v>
      </c>
      <c r="P207">
        <v>100</v>
      </c>
      <c r="Q207">
        <v>100</v>
      </c>
      <c r="R207" t="str">
        <v>N/A</v>
      </c>
      <c r="S207">
        <v>100</v>
      </c>
      <c r="T207">
        <f>IF(OR(M207="N/A",P207="N/A"),"N/A",ROUND(P207/M207*100,1))</f>
      </c>
      <c r="U207">
        <f>IF(OR(N207="N/A",Q207="N/A"),"N/A",ROUND(IF(Q207/N207&gt;=1,Q207/N207,MIN(1,(Q207/N207)+(IF(OR(R207="N/A",R207=""),0,R207/N207))))*100,1))</f>
      </c>
      <c r="V207">
        <f>IF(OR(O207="N/A",S207="N/A"),"N/A",ROUND(S207/O207*100,1))</f>
      </c>
      <c r="W207">
        <f>IF(COUNT(T207:V207)&gt;0,ROUND(AVERAGE(T207:V207),1),"N/A")</f>
      </c>
      <c r="X207" t="str">
        <v>Kỳ 2 (Kỳ hiện tại)</v>
      </c>
    </row>
    <row r="208">
      <c r="A208">
        <v>207</v>
      </c>
      <c r="B208" t="str">
        <v>UWE</v>
      </c>
      <c r="C208" t="str">
        <v>Top-up UWE (ĐH West of England)</v>
      </c>
      <c r="D208" t="str">
        <v>Chuyển tiếp Top-up (Năm cuối)</v>
      </c>
      <c r="E208" t="str">
        <v>I19 MX - IBM</v>
      </c>
      <c r="F208" t="str">
        <v>Năm 4</v>
      </c>
      <c r="G208" t="str">
        <v>SEM 2</v>
      </c>
      <c r="H208" t="str">
        <v>UMSDMK-15-3</v>
      </c>
      <c r="I208" t="str">
        <v>Integrated Business Management Simulation (IBMS)</v>
      </c>
      <c r="J208" t="str">
        <v>Vũ Minh Nhật</v>
      </c>
      <c r="K208">
        <v>2</v>
      </c>
      <c r="L208">
        <v>52</v>
      </c>
      <c r="M208">
        <v>95</v>
      </c>
      <c r="N208">
        <v>95</v>
      </c>
      <c r="O208">
        <v>100</v>
      </c>
      <c r="P208">
        <v>0</v>
      </c>
      <c r="Q208">
        <v>0</v>
      </c>
      <c r="R208" t="str">
        <v>N/A</v>
      </c>
      <c r="S208">
        <v>0</v>
      </c>
      <c r="T208">
        <f>IF(OR(M208="N/A",P208="N/A"),"N/A",ROUND(P208/M208*100,1))</f>
      </c>
      <c r="U208">
        <f>IF(OR(N208="N/A",Q208="N/A"),"N/A",ROUND(IF(Q208/N208&gt;=1,Q208/N208,MIN(1,(Q208/N208)+(IF(OR(R208="N/A",R208=""),0,R208/N208))))*100,1))</f>
      </c>
      <c r="V208">
        <f>IF(OR(O208="N/A",S208="N/A"),"N/A",ROUND(S208/O208*100,1))</f>
      </c>
      <c r="W208">
        <f>IF(COUNT(T208:V208)&gt;0,ROUND(AVERAGE(T208:V208),1),"N/A")</f>
      </c>
      <c r="X208" t="str">
        <v>Kỳ 2 (Kỳ hiện tại)</v>
      </c>
    </row>
    <row r="209">
      <c r="A209">
        <v>208</v>
      </c>
      <c r="B209" t="str">
        <v>UWE</v>
      </c>
      <c r="C209" t="str">
        <v>Top-up UWE (ĐH West of England)</v>
      </c>
      <c r="D209" t="str">
        <v>Chuyển tiếp Top-up (Năm cuối)</v>
      </c>
      <c r="E209" t="str">
        <v>I20 MX - IBM</v>
      </c>
      <c r="F209" t="str">
        <v>Năm 4</v>
      </c>
      <c r="G209" t="str">
        <v>SEM 2</v>
      </c>
      <c r="H209" t="str">
        <v>UMSDMK-15-3</v>
      </c>
      <c r="I209" t="str">
        <v>Integrated Business Management Simulation (IBMS)</v>
      </c>
      <c r="J209" t="str">
        <v>Vũ Minh Nhật</v>
      </c>
      <c r="K209">
        <v>2</v>
      </c>
      <c r="L209">
        <v>45</v>
      </c>
      <c r="M209">
        <v>95</v>
      </c>
      <c r="N209">
        <v>95</v>
      </c>
      <c r="O209">
        <v>100</v>
      </c>
      <c r="P209">
        <v>0</v>
      </c>
      <c r="Q209">
        <v>0</v>
      </c>
      <c r="R209" t="str">
        <v>N/A</v>
      </c>
      <c r="S209">
        <v>0</v>
      </c>
      <c r="T209">
        <f>IF(OR(M209="N/A",P209="N/A"),"N/A",ROUND(P209/M209*100,1))</f>
      </c>
      <c r="U209">
        <f>IF(OR(N209="N/A",Q209="N/A"),"N/A",ROUND(IF(Q209/N209&gt;=1,Q209/N209,MIN(1,(Q209/N209)+(IF(OR(R209="N/A",R209=""),0,R209/N209))))*100,1))</f>
      </c>
      <c r="V209">
        <f>IF(OR(O209="N/A",S209="N/A"),"N/A",ROUND(S209/O209*100,1))</f>
      </c>
      <c r="W209">
        <f>IF(COUNT(T209:V209)&gt;0,ROUND(AVERAGE(T209:V209),1),"N/A")</f>
      </c>
      <c r="X209" t="str">
        <v>Kỳ 2 (Kỳ hiện tại)</v>
      </c>
    </row>
    <row r="210">
      <c r="A210">
        <v>209</v>
      </c>
      <c r="B210" t="str">
        <v>CU</v>
      </c>
      <c r="C210" t="str">
        <v>Top-up Coventry (CU)</v>
      </c>
      <c r="D210" t="str">
        <v>Chuyển tiếp Top-up (Năm cuối)</v>
      </c>
      <c r="E210" t="str">
        <v>I19 MX</v>
      </c>
      <c r="F210" t="str">
        <v>Năm 4</v>
      </c>
      <c r="G210" t="str">
        <v>SEM 1</v>
      </c>
      <c r="H210" t="str">
        <v>NEU6000SMM</v>
      </c>
      <c r="I210" t="str">
        <v>Project</v>
      </c>
      <c r="J210" t="str">
        <v>Nguyễn Giang Khánh Huyền</v>
      </c>
      <c r="K210">
        <v>10</v>
      </c>
      <c r="L210">
        <v>37</v>
      </c>
      <c r="M210">
        <v>95</v>
      </c>
      <c r="N210">
        <v>95</v>
      </c>
      <c r="O210">
        <v>100</v>
      </c>
      <c r="P210">
        <v>95</v>
      </c>
      <c r="Q210">
        <v>97.3</v>
      </c>
      <c r="R210" t="str">
        <v>N/A</v>
      </c>
      <c r="S210">
        <v>97.3</v>
      </c>
      <c r="T210">
        <f>IF(OR(M210="N/A",P210="N/A"),"N/A",ROUND(P210/M210*100,1))</f>
      </c>
      <c r="U210">
        <f>IF(OR(N210="N/A",Q210="N/A"),"N/A",ROUND(IF(Q210/N210&gt;=1,Q210/N210,MIN(1,(Q210/N210)+(IF(OR(R210="N/A",R210=""),0,R210/N210))))*100,1))</f>
      </c>
      <c r="V210">
        <f>IF(OR(O210="N/A",S210="N/A"),"N/A",ROUND(S210/O210*100,1))</f>
      </c>
      <c r="W210">
        <f>IF(COUNT(T210:V210)&gt;0,ROUND(AVERAGE(T210:V210),1),"N/A")</f>
      </c>
      <c r="X210" t="str">
        <v>Kỳ học theo khóa</v>
      </c>
    </row>
    <row r="211">
      <c r="A211">
        <v>210</v>
      </c>
      <c r="B211" t="str">
        <v>CU</v>
      </c>
      <c r="C211" t="str">
        <v>Top-up Coventry (CU)</v>
      </c>
      <c r="D211" t="str">
        <v>Chuyển tiếp Top-up (Năm cuối)</v>
      </c>
      <c r="E211" t="str">
        <v>I19 MT</v>
      </c>
      <c r="F211" t="str">
        <v>Năm 4</v>
      </c>
      <c r="G211" t="str">
        <v>SEM 1</v>
      </c>
      <c r="H211" t="str">
        <v>NEU6000SMM</v>
      </c>
      <c r="I211" t="str">
        <v>Project</v>
      </c>
      <c r="J211" t="str">
        <v>Nguyễn Giang Khánh Huyền</v>
      </c>
      <c r="K211">
        <v>2</v>
      </c>
      <c r="L211">
        <v>40</v>
      </c>
      <c r="M211">
        <v>95</v>
      </c>
      <c r="N211">
        <v>95</v>
      </c>
      <c r="O211">
        <v>100</v>
      </c>
      <c r="P211">
        <v>0</v>
      </c>
      <c r="Q211">
        <v>0</v>
      </c>
      <c r="R211" t="str">
        <v>N/A</v>
      </c>
      <c r="S211">
        <v>0</v>
      </c>
      <c r="T211">
        <f>IF(OR(M211="N/A",P211="N/A"),"N/A",ROUND(P211/M211*100,1))</f>
      </c>
      <c r="U211">
        <f>IF(OR(N211="N/A",Q211="N/A"),"N/A",ROUND(IF(Q211/N211&gt;=1,Q211/N211,MIN(1,(Q211/N211)+(IF(OR(R211="N/A",R211=""),0,R211/N211))))*100,1))</f>
      </c>
      <c r="V211">
        <f>IF(OR(O211="N/A",S211="N/A"),"N/A",ROUND(S211/O211*100,1))</f>
      </c>
      <c r="W211">
        <f>IF(COUNT(T211:V211)&gt;0,ROUND(AVERAGE(T211:V211),1),"N/A")</f>
      </c>
      <c r="X211" t="str">
        <v>Kỳ học theo khóa</v>
      </c>
    </row>
    <row r="212">
      <c r="A212">
        <v>211</v>
      </c>
      <c r="B212" t="str">
        <v>CU</v>
      </c>
      <c r="C212" t="str">
        <v>Top-up Coventry (CU)</v>
      </c>
      <c r="D212" t="str">
        <v>Chuyển tiếp Top-up (Năm cuối)</v>
      </c>
      <c r="E212" t="str">
        <v>I19 MX</v>
      </c>
      <c r="F212" t="str">
        <v>Năm 4</v>
      </c>
      <c r="G212" t="str">
        <v>SEM 1</v>
      </c>
      <c r="H212" t="str">
        <v>NEU6001HRM</v>
      </c>
      <c r="I212" t="str">
        <v>Innovation and Change</v>
      </c>
      <c r="J212" t="str">
        <v>Nguyễn Giang Khánh Huyền</v>
      </c>
      <c r="K212">
        <v>2</v>
      </c>
      <c r="L212">
        <v>45</v>
      </c>
      <c r="M212">
        <v>95</v>
      </c>
      <c r="N212">
        <v>95</v>
      </c>
      <c r="O212">
        <v>100</v>
      </c>
      <c r="P212">
        <v>95</v>
      </c>
      <c r="Q212">
        <v>95</v>
      </c>
      <c r="R212" t="str">
        <v>N/A</v>
      </c>
      <c r="S212">
        <v>98</v>
      </c>
      <c r="T212">
        <f>IF(OR(M212="N/A",P212="N/A"),"N/A",ROUND(P212/M212*100,1))</f>
      </c>
      <c r="U212">
        <f>IF(OR(N212="N/A",Q212="N/A"),"N/A",ROUND(IF(Q212/N212&gt;=1,Q212/N212,MIN(1,(Q212/N212)+(IF(OR(R212="N/A",R212=""),0,R212/N212))))*100,1))</f>
      </c>
      <c r="V212">
        <f>IF(OR(O212="N/A",S212="N/A"),"N/A",ROUND(S212/O212*100,1))</f>
      </c>
      <c r="W212">
        <f>IF(COUNT(T212:V212)&gt;0,ROUND(AVERAGE(T212:V212),1),"N/A")</f>
      </c>
      <c r="X212" t="str">
        <v>Kỳ học theo khóa</v>
      </c>
    </row>
    <row r="213">
      <c r="A213">
        <v>212</v>
      </c>
      <c r="B213" t="str">
        <v>CU</v>
      </c>
      <c r="C213" t="str">
        <v>Top-up Coventry (CU)</v>
      </c>
      <c r="D213" t="str">
        <v>Chuyển tiếp Top-up (Năm cuối)</v>
      </c>
      <c r="E213" t="str">
        <v>I19 MX</v>
      </c>
      <c r="F213" t="str">
        <v>Năm 4</v>
      </c>
      <c r="G213" t="str">
        <v>SEM 1</v>
      </c>
      <c r="H213" t="str">
        <v>NEU6005MKT</v>
      </c>
      <c r="I213" t="str">
        <v>Career Development</v>
      </c>
      <c r="J213" t="str">
        <v>Nguyễn Giang Khánh Huyền</v>
      </c>
      <c r="K213">
        <v>1</v>
      </c>
      <c r="L213">
        <v>63</v>
      </c>
      <c r="M213">
        <v>95</v>
      </c>
      <c r="N213">
        <v>95</v>
      </c>
      <c r="O213">
        <v>100</v>
      </c>
      <c r="P213">
        <v>95</v>
      </c>
      <c r="Q213">
        <v>98.4</v>
      </c>
      <c r="R213" t="str">
        <v>N/A</v>
      </c>
      <c r="S213">
        <v>98.4</v>
      </c>
      <c r="T213">
        <f>IF(OR(M213="N/A",P213="N/A"),"N/A",ROUND(P213/M213*100,1))</f>
      </c>
      <c r="U213">
        <f>IF(OR(N213="N/A",Q213="N/A"),"N/A",ROUND(IF(Q213/N213&gt;=1,Q213/N213,MIN(1,(Q213/N213)+(IF(OR(R213="N/A",R213=""),0,R213/N213))))*100,1))</f>
      </c>
      <c r="V213">
        <f>IF(OR(O213="N/A",S213="N/A"),"N/A",ROUND(S213/O213*100,1))</f>
      </c>
      <c r="W213">
        <f>IF(COUNT(T213:V213)&gt;0,ROUND(AVERAGE(T213:V213),1),"N/A")</f>
      </c>
      <c r="X213" t="str">
        <v>Kỳ học theo khóa</v>
      </c>
    </row>
    <row r="214">
      <c r="A214">
        <v>213</v>
      </c>
      <c r="B214" t="str">
        <v>CU</v>
      </c>
      <c r="C214" t="str">
        <v>Top-up Coventry (CU)</v>
      </c>
      <c r="D214" t="str">
        <v>Chuyển tiếp Top-up (Năm cuối)</v>
      </c>
      <c r="E214" t="str">
        <v>I19 MT</v>
      </c>
      <c r="F214" t="str">
        <v>Năm 4</v>
      </c>
      <c r="G214" t="str">
        <v>SEM 1</v>
      </c>
      <c r="H214" t="str">
        <v>NEU6005MKT</v>
      </c>
      <c r="I214" t="str">
        <v>Career Development</v>
      </c>
      <c r="J214" t="str">
        <v>Nguyễn Giang Khánh Huyền</v>
      </c>
      <c r="K214">
        <v>1</v>
      </c>
      <c r="L214">
        <v>40</v>
      </c>
      <c r="M214">
        <v>95</v>
      </c>
      <c r="N214">
        <v>95</v>
      </c>
      <c r="O214">
        <v>100</v>
      </c>
      <c r="P214">
        <v>0</v>
      </c>
      <c r="Q214">
        <v>0</v>
      </c>
      <c r="R214" t="str">
        <v>N/A</v>
      </c>
      <c r="S214">
        <v>0</v>
      </c>
      <c r="T214">
        <f>IF(OR(M214="N/A",P214="N/A"),"N/A",ROUND(P214/M214*100,1))</f>
      </c>
      <c r="U214">
        <f>IF(OR(N214="N/A",Q214="N/A"),"N/A",ROUND(IF(Q214/N214&gt;=1,Q214/N214,MIN(1,(Q214/N214)+(IF(OR(R214="N/A",R214=""),0,R214/N214))))*100,1))</f>
      </c>
      <c r="V214">
        <f>IF(OR(O214="N/A",S214="N/A"),"N/A",ROUND(S214/O214*100,1))</f>
      </c>
      <c r="W214">
        <f>IF(COUNT(T214:V214)&gt;0,ROUND(AVERAGE(T214:V214),1),"N/A")</f>
      </c>
      <c r="X214" t="str">
        <v>Kỳ học theo khóa</v>
      </c>
    </row>
    <row r="215">
      <c r="A215">
        <v>214</v>
      </c>
      <c r="B215" t="str">
        <v>CU</v>
      </c>
      <c r="C215" t="str">
        <v>Top-up Coventry (CU)</v>
      </c>
      <c r="D215" t="str">
        <v>Chuyển tiếp Top-up (Năm cuối)</v>
      </c>
      <c r="E215" t="str">
        <v>I19 MX</v>
      </c>
      <c r="F215" t="str">
        <v>Năm 4</v>
      </c>
      <c r="G215" t="str">
        <v>SEM 1</v>
      </c>
      <c r="H215" t="str">
        <v>NEU6016MKT</v>
      </c>
      <c r="I215" t="str">
        <v>Contemporary Marketing Issues</v>
      </c>
      <c r="J215" t="str">
        <v>Nguyễn Giang Khánh Huyền</v>
      </c>
      <c r="K215">
        <v>2</v>
      </c>
      <c r="L215">
        <v>45</v>
      </c>
      <c r="M215">
        <v>95</v>
      </c>
      <c r="N215">
        <v>95</v>
      </c>
      <c r="O215">
        <v>100</v>
      </c>
      <c r="P215">
        <v>95</v>
      </c>
      <c r="Q215">
        <v>95</v>
      </c>
      <c r="R215" t="str">
        <v>N/A</v>
      </c>
      <c r="S215">
        <v>98</v>
      </c>
      <c r="T215">
        <f>IF(OR(M215="N/A",P215="N/A"),"N/A",ROUND(P215/M215*100,1))</f>
      </c>
      <c r="U215">
        <f>IF(OR(N215="N/A",Q215="N/A"),"N/A",ROUND(IF(Q215/N215&gt;=1,Q215/N215,MIN(1,(Q215/N215)+(IF(OR(R215="N/A",R215=""),0,R215/N215))))*100,1))</f>
      </c>
      <c r="V215">
        <f>IF(OR(O215="N/A",S215="N/A"),"N/A",ROUND(S215/O215*100,1))</f>
      </c>
      <c r="W215">
        <f>IF(COUNT(T215:V215)&gt;0,ROUND(AVERAGE(T215:V215),1),"N/A")</f>
      </c>
      <c r="X215" t="str">
        <v>Kỳ học theo khóa</v>
      </c>
    </row>
    <row r="216">
      <c r="A216">
        <v>215</v>
      </c>
      <c r="B216" t="str">
        <v>CU</v>
      </c>
      <c r="C216" t="str">
        <v>Top-up Coventry (CU)</v>
      </c>
      <c r="D216" t="str">
        <v>Chuyển tiếp Top-up (Năm cuối)</v>
      </c>
      <c r="E216" t="str">
        <v>I19 MX</v>
      </c>
      <c r="F216" t="str">
        <v>Năm 4</v>
      </c>
      <c r="G216" t="str">
        <v>SEM 1</v>
      </c>
      <c r="H216" t="str">
        <v>NEU6300CAW</v>
      </c>
      <c r="I216" t="str">
        <v>Academic Writing 3</v>
      </c>
      <c r="J216" t="str">
        <v>Nguyễn Giang Khánh Huyền</v>
      </c>
      <c r="K216">
        <v>1</v>
      </c>
      <c r="L216">
        <v>63</v>
      </c>
      <c r="M216">
        <v>95</v>
      </c>
      <c r="N216">
        <v>95</v>
      </c>
      <c r="O216">
        <v>100</v>
      </c>
      <c r="P216">
        <v>95</v>
      </c>
      <c r="Q216">
        <v>98.4</v>
      </c>
      <c r="R216" t="str">
        <v>N/A</v>
      </c>
      <c r="S216">
        <v>98.4</v>
      </c>
      <c r="T216">
        <f>IF(OR(M216="N/A",P216="N/A"),"N/A",ROUND(P216/M216*100,1))</f>
      </c>
      <c r="U216">
        <f>IF(OR(N216="N/A",Q216="N/A"),"N/A",ROUND(IF(Q216/N216&gt;=1,Q216/N216,MIN(1,(Q216/N216)+(IF(OR(R216="N/A",R216=""),0,R216/N216))))*100,1))</f>
      </c>
      <c r="V216">
        <f>IF(OR(O216="N/A",S216="N/A"),"N/A",ROUND(S216/O216*100,1))</f>
      </c>
      <c r="W216">
        <f>IF(COUNT(T216:V216)&gt;0,ROUND(AVERAGE(T216:V216),1),"N/A")</f>
      </c>
      <c r="X216" t="str">
        <v>Kỳ học theo khóa</v>
      </c>
    </row>
    <row r="217">
      <c r="A217">
        <v>216</v>
      </c>
      <c r="B217" t="str">
        <v>CU</v>
      </c>
      <c r="C217" t="str">
        <v>Top-up Coventry (CU)</v>
      </c>
      <c r="D217" t="str">
        <v>Chuyển tiếp Top-up (Năm cuối)</v>
      </c>
      <c r="E217" t="str">
        <v>I19 MT</v>
      </c>
      <c r="F217" t="str">
        <v>Năm 4</v>
      </c>
      <c r="G217" t="str">
        <v>SEM 1</v>
      </c>
      <c r="H217" t="str">
        <v>NEU6300CAW</v>
      </c>
      <c r="I217" t="str">
        <v>Academic Writing 3</v>
      </c>
      <c r="J217" t="str">
        <v>Nguyễn Giang Khánh Huyền</v>
      </c>
      <c r="K217">
        <v>1</v>
      </c>
      <c r="L217">
        <v>40</v>
      </c>
      <c r="M217">
        <v>95</v>
      </c>
      <c r="N217">
        <v>95</v>
      </c>
      <c r="O217">
        <v>100</v>
      </c>
      <c r="P217">
        <v>0</v>
      </c>
      <c r="Q217">
        <v>0</v>
      </c>
      <c r="R217" t="str">
        <v>N/A</v>
      </c>
      <c r="S217">
        <v>0</v>
      </c>
      <c r="T217">
        <f>IF(OR(M217="N/A",P217="N/A"),"N/A",ROUND(P217/M217*100,1))</f>
      </c>
      <c r="U217">
        <f>IF(OR(N217="N/A",Q217="N/A"),"N/A",ROUND(IF(Q217/N217&gt;=1,Q217/N217,MIN(1,(Q217/N217)+(IF(OR(R217="N/A",R217=""),0,R217/N217))))*100,1))</f>
      </c>
      <c r="V217">
        <f>IF(OR(O217="N/A",S217="N/A"),"N/A",ROUND(S217/O217*100,1))</f>
      </c>
      <c r="W217">
        <f>IF(COUNT(T217:V217)&gt;0,ROUND(AVERAGE(T217:V217),1),"N/A")</f>
      </c>
      <c r="X217" t="str">
        <v>Kỳ học theo khóa</v>
      </c>
    </row>
    <row r="218">
      <c r="A218">
        <v>217</v>
      </c>
      <c r="B218" t="str">
        <v>CU</v>
      </c>
      <c r="C218" t="str">
        <v>Top-up Coventry (CU)</v>
      </c>
      <c r="D218" t="str">
        <v>Chuyển tiếp Top-up (Năm cuối)</v>
      </c>
      <c r="E218" t="str">
        <v>I19 MX</v>
      </c>
      <c r="F218" t="str">
        <v>Năm 4</v>
      </c>
      <c r="G218" t="str">
        <v>SEM 2</v>
      </c>
      <c r="H218" t="str">
        <v>NEU6000SMM</v>
      </c>
      <c r="I218" t="str">
        <v>Project</v>
      </c>
      <c r="J218" t="str">
        <v>Nguyễn Giang Khánh Huyền</v>
      </c>
      <c r="K218">
        <v>10</v>
      </c>
      <c r="L218">
        <v>37</v>
      </c>
      <c r="M218">
        <v>95</v>
      </c>
      <c r="N218">
        <v>95</v>
      </c>
      <c r="O218">
        <v>100</v>
      </c>
      <c r="P218">
        <v>95</v>
      </c>
      <c r="Q218">
        <v>97.3</v>
      </c>
      <c r="R218" t="str">
        <v>N/A</v>
      </c>
      <c r="S218">
        <v>97.3</v>
      </c>
      <c r="T218">
        <f>IF(OR(M218="N/A",P218="N/A"),"N/A",ROUND(P218/M218*100,1))</f>
      </c>
      <c r="U218">
        <f>IF(OR(N218="N/A",Q218="N/A"),"N/A",ROUND(IF(Q218/N218&gt;=1,Q218/N218,MIN(1,(Q218/N218)+(IF(OR(R218="N/A",R218=""),0,R218/N218))))*100,1))</f>
      </c>
      <c r="V218">
        <f>IF(OR(O218="N/A",S218="N/A"),"N/A",ROUND(S218/O218*100,1))</f>
      </c>
      <c r="W218">
        <f>IF(COUNT(T218:V218)&gt;0,ROUND(AVERAGE(T218:V218),1),"N/A")</f>
      </c>
      <c r="X218" t="str">
        <v>Kỳ 2 (Kỳ hiện tại)</v>
      </c>
    </row>
    <row r="219">
      <c r="A219">
        <v>218</v>
      </c>
      <c r="B219" t="str">
        <v>CU</v>
      </c>
      <c r="C219" t="str">
        <v>Top-up Coventry (CU)</v>
      </c>
      <c r="D219" t="str">
        <v>Chuyển tiếp Top-up (Năm cuối)</v>
      </c>
      <c r="E219" t="str">
        <v>I19 MX</v>
      </c>
      <c r="F219" t="str">
        <v>Năm 4</v>
      </c>
      <c r="G219" t="str">
        <v>SEM 2</v>
      </c>
      <c r="H219" t="str">
        <v>NEU6005MKT</v>
      </c>
      <c r="I219" t="str">
        <v>Career Development</v>
      </c>
      <c r="J219" t="str">
        <v>Nguyễn Giang Khánh Huyền</v>
      </c>
      <c r="K219">
        <v>1</v>
      </c>
      <c r="L219">
        <v>63</v>
      </c>
      <c r="M219">
        <v>95</v>
      </c>
      <c r="N219">
        <v>95</v>
      </c>
      <c r="O219">
        <v>100</v>
      </c>
      <c r="P219">
        <v>95</v>
      </c>
      <c r="Q219">
        <v>98.4</v>
      </c>
      <c r="R219" t="str">
        <v>N/A</v>
      </c>
      <c r="S219">
        <v>98.4</v>
      </c>
      <c r="T219">
        <f>IF(OR(M219="N/A",P219="N/A"),"N/A",ROUND(P219/M219*100,1))</f>
      </c>
      <c r="U219">
        <f>IF(OR(N219="N/A",Q219="N/A"),"N/A",ROUND(IF(Q219/N219&gt;=1,Q219/N219,MIN(1,(Q219/N219)+(IF(OR(R219="N/A",R219=""),0,R219/N219))))*100,1))</f>
      </c>
      <c r="V219">
        <f>IF(OR(O219="N/A",S219="N/A"),"N/A",ROUND(S219/O219*100,1))</f>
      </c>
      <c r="W219">
        <f>IF(COUNT(T219:V219)&gt;0,ROUND(AVERAGE(T219:V219),1),"N/A")</f>
      </c>
      <c r="X219" t="str">
        <v>Kỳ 2 (Kỳ hiện tại)</v>
      </c>
    </row>
    <row r="220">
      <c r="A220">
        <v>219</v>
      </c>
      <c r="B220" t="str">
        <v>CU</v>
      </c>
      <c r="C220" t="str">
        <v>Top-up Coventry (CU)</v>
      </c>
      <c r="D220" t="str">
        <v>Chuyển tiếp Top-up (Năm cuối)</v>
      </c>
      <c r="E220" t="str">
        <v>I19 MX</v>
      </c>
      <c r="F220" t="str">
        <v>Năm 4</v>
      </c>
      <c r="G220" t="str">
        <v>SEM 2</v>
      </c>
      <c r="H220" t="str">
        <v>NEU6011MKT</v>
      </c>
      <c r="I220" t="str">
        <v>Marketing Strategy</v>
      </c>
      <c r="J220" t="str">
        <v>Nguyễn Giang Khánh Huyền</v>
      </c>
      <c r="K220">
        <v>1</v>
      </c>
      <c r="L220">
        <v>100</v>
      </c>
      <c r="M220">
        <v>95</v>
      </c>
      <c r="N220">
        <v>95</v>
      </c>
      <c r="O220">
        <v>100</v>
      </c>
      <c r="P220">
        <v>95</v>
      </c>
      <c r="Q220">
        <v>94</v>
      </c>
      <c r="R220" t="str">
        <v>N/A</v>
      </c>
      <c r="S220">
        <v>94</v>
      </c>
      <c r="T220">
        <f>IF(OR(M220="N/A",P220="N/A"),"N/A",ROUND(P220/M220*100,1))</f>
      </c>
      <c r="U220">
        <f>IF(OR(N220="N/A",Q220="N/A"),"N/A",ROUND(IF(Q220/N220&gt;=1,Q220/N220,MIN(1,(Q220/N220)+(IF(OR(R220="N/A",R220=""),0,R220/N220))))*100,1))</f>
      </c>
      <c r="V220">
        <f>IF(OR(O220="N/A",S220="N/A"),"N/A",ROUND(S220/O220*100,1))</f>
      </c>
      <c r="W220">
        <f>IF(COUNT(T220:V220)&gt;0,ROUND(AVERAGE(T220:V220),1),"N/A")</f>
      </c>
      <c r="X220" t="str">
        <v>Kỳ 2 (Kỳ hiện tại)</v>
      </c>
    </row>
    <row r="221">
      <c r="A221">
        <v>220</v>
      </c>
      <c r="B221" t="str">
        <v>CU</v>
      </c>
      <c r="C221" t="str">
        <v>Top-up Coventry (CU)</v>
      </c>
      <c r="D221" t="str">
        <v>Chuyển tiếp Top-up (Năm cuối)</v>
      </c>
      <c r="E221" t="str">
        <v>I19 MT</v>
      </c>
      <c r="F221" t="str">
        <v>Năm 4</v>
      </c>
      <c r="G221" t="str">
        <v>SEM 2</v>
      </c>
      <c r="H221" t="str">
        <v>NEU6011MKT</v>
      </c>
      <c r="I221" t="str">
        <v>Marketing Strategy</v>
      </c>
      <c r="J221" t="str">
        <v>Nguyễn Giang Khánh Huyền</v>
      </c>
      <c r="K221">
        <v>1</v>
      </c>
      <c r="L221">
        <v>40</v>
      </c>
      <c r="M221">
        <v>95</v>
      </c>
      <c r="N221">
        <v>95</v>
      </c>
      <c r="O221">
        <v>100</v>
      </c>
      <c r="P221">
        <v>0</v>
      </c>
      <c r="Q221">
        <v>0</v>
      </c>
      <c r="R221" t="str">
        <v>N/A</v>
      </c>
      <c r="S221">
        <v>0</v>
      </c>
      <c r="T221">
        <f>IF(OR(M221="N/A",P221="N/A"),"N/A",ROUND(P221/M221*100,1))</f>
      </c>
      <c r="U221">
        <f>IF(OR(N221="N/A",Q221="N/A"),"N/A",ROUND(IF(Q221/N221&gt;=1,Q221/N221,MIN(1,(Q221/N221)+(IF(OR(R221="N/A",R221=""),0,R221/N221))))*100,1))</f>
      </c>
      <c r="V221">
        <f>IF(OR(O221="N/A",S221="N/A"),"N/A",ROUND(S221/O221*100,1))</f>
      </c>
      <c r="W221">
        <f>IF(COUNT(T221:V221)&gt;0,ROUND(AVERAGE(T221:V221),1),"N/A")</f>
      </c>
      <c r="X221" t="str">
        <v>Kỳ 2 (Kỳ hiện tại)</v>
      </c>
    </row>
    <row r="222">
      <c r="A222">
        <v>221</v>
      </c>
      <c r="B222" t="str">
        <v>CU</v>
      </c>
      <c r="C222" t="str">
        <v>Top-up Coventry (CU)</v>
      </c>
      <c r="D222" t="str">
        <v>Chuyển tiếp Top-up (Năm cuối)</v>
      </c>
      <c r="E222" t="str">
        <v>I19 MX</v>
      </c>
      <c r="F222" t="str">
        <v>Năm 4</v>
      </c>
      <c r="G222" t="str">
        <v>SEM 2</v>
      </c>
      <c r="H222" t="str">
        <v>NEU6021MKT</v>
      </c>
      <c r="I222" t="str">
        <v>Responsible Business Strategy</v>
      </c>
      <c r="J222" t="str">
        <v>Nguyễn Giang Khánh Huyền</v>
      </c>
      <c r="K222">
        <v>2</v>
      </c>
      <c r="L222">
        <v>100</v>
      </c>
      <c r="M222">
        <v>95</v>
      </c>
      <c r="N222">
        <v>95</v>
      </c>
      <c r="O222">
        <v>100</v>
      </c>
      <c r="P222">
        <v>95</v>
      </c>
      <c r="Q222">
        <v>100</v>
      </c>
      <c r="R222" t="str">
        <v>N/A</v>
      </c>
      <c r="S222">
        <v>100</v>
      </c>
      <c r="T222">
        <f>IF(OR(M222="N/A",P222="N/A"),"N/A",ROUND(P222/M222*100,1))</f>
      </c>
      <c r="U222">
        <f>IF(OR(N222="N/A",Q222="N/A"),"N/A",ROUND(IF(Q222/N222&gt;=1,Q222/N222,MIN(1,(Q222/N222)+(IF(OR(R222="N/A",R222=""),0,R222/N222))))*100,1))</f>
      </c>
      <c r="V222">
        <f>IF(OR(O222="N/A",S222="N/A"),"N/A",ROUND(S222/O222*100,1))</f>
      </c>
      <c r="W222">
        <f>IF(COUNT(T222:V222)&gt;0,ROUND(AVERAGE(T222:V222),1),"N/A")</f>
      </c>
      <c r="X222" t="str">
        <v>Kỳ 2 (Kỳ hiện tại)</v>
      </c>
    </row>
    <row r="223">
      <c r="A223">
        <v>222</v>
      </c>
      <c r="B223" t="str">
        <v>CU</v>
      </c>
      <c r="C223" t="str">
        <v>Top-up Coventry (CU)</v>
      </c>
      <c r="D223" t="str">
        <v>Chuyển tiếp Top-up (Năm cuối)</v>
      </c>
      <c r="E223" t="str">
        <v>I19 MT</v>
      </c>
      <c r="F223" t="str">
        <v>Năm 4</v>
      </c>
      <c r="G223" t="str">
        <v>SEM 2</v>
      </c>
      <c r="H223" t="str">
        <v>NEU6021MKT</v>
      </c>
      <c r="I223" t="str">
        <v>Responsible Business Strategy</v>
      </c>
      <c r="J223" t="str">
        <v>Nguyễn Giang Khánh Huyền</v>
      </c>
      <c r="K223">
        <v>2</v>
      </c>
      <c r="L223">
        <v>40</v>
      </c>
      <c r="M223">
        <v>95</v>
      </c>
      <c r="N223">
        <v>95</v>
      </c>
      <c r="O223">
        <v>100</v>
      </c>
      <c r="P223">
        <v>0</v>
      </c>
      <c r="Q223">
        <v>0</v>
      </c>
      <c r="R223" t="str">
        <v>N/A</v>
      </c>
      <c r="S223">
        <v>0</v>
      </c>
      <c r="T223">
        <f>IF(OR(M223="N/A",P223="N/A"),"N/A",ROUND(P223/M223*100,1))</f>
      </c>
      <c r="U223">
        <f>IF(OR(N223="N/A",Q223="N/A"),"N/A",ROUND(IF(Q223/N223&gt;=1,Q223/N223,MIN(1,(Q223/N223)+(IF(OR(R223="N/A",R223=""),0,R223/N223))))*100,1))</f>
      </c>
      <c r="V223">
        <f>IF(OR(O223="N/A",S223="N/A"),"N/A",ROUND(S223/O223*100,1))</f>
      </c>
      <c r="W223">
        <f>IF(COUNT(T223:V223)&gt;0,ROUND(AVERAGE(T223:V223),1),"N/A")</f>
      </c>
      <c r="X223" t="str">
        <v>Kỳ 2 (Kỳ hiện tại)</v>
      </c>
    </row>
    <row r="224">
      <c r="A224">
        <v>223</v>
      </c>
      <c r="B224" t="str">
        <v>CU</v>
      </c>
      <c r="C224" t="str">
        <v>Top-up Coventry (CU)</v>
      </c>
      <c r="D224" t="str">
        <v>Chuyển tiếp Top-up (Năm cuối)</v>
      </c>
      <c r="E224" t="str">
        <v>I19 MX</v>
      </c>
      <c r="F224" t="str">
        <v>Năm 4</v>
      </c>
      <c r="G224" t="str">
        <v>SEM 2</v>
      </c>
      <c r="H224" t="str">
        <v>NEU6300CAW</v>
      </c>
      <c r="I224" t="str">
        <v>Academic Writing 3</v>
      </c>
      <c r="J224" t="str">
        <v>Nguyễn Giang Khánh Huyền</v>
      </c>
      <c r="K224">
        <v>1</v>
      </c>
      <c r="L224">
        <v>63</v>
      </c>
      <c r="M224">
        <v>95</v>
      </c>
      <c r="N224">
        <v>95</v>
      </c>
      <c r="O224">
        <v>100</v>
      </c>
      <c r="P224">
        <v>95</v>
      </c>
      <c r="Q224">
        <v>98.4</v>
      </c>
      <c r="R224" t="str">
        <v>N/A</v>
      </c>
      <c r="S224">
        <v>98.4</v>
      </c>
      <c r="T224">
        <f>IF(OR(M224="N/A",P224="N/A"),"N/A",ROUND(P224/M224*100,1))</f>
      </c>
      <c r="U224">
        <f>IF(OR(N224="N/A",Q224="N/A"),"N/A",ROUND(IF(Q224/N224&gt;=1,Q224/N224,MIN(1,(Q224/N224)+(IF(OR(R224="N/A",R224=""),0,R224/N224))))*100,1))</f>
      </c>
      <c r="V224">
        <f>IF(OR(O224="N/A",S224="N/A"),"N/A",ROUND(S224/O224*100,1))</f>
      </c>
      <c r="W224">
        <f>IF(COUNT(T224:V224)&gt;0,ROUND(AVERAGE(T224:V224),1),"N/A")</f>
      </c>
      <c r="X224" t="str">
        <v>Kỳ 2 (Kỳ hiện tại)</v>
      </c>
    </row>
  </sheetData>
  <ignoredErrors>
    <ignoredError numberStoredAsText="1" sqref="A1:X224"/>
  </ignoredErrors>
</worksheet>
</file>

<file path=xl/worksheets/sheet4.xml><?xml version="1.0" encoding="utf-8"?>
<worksheet xmlns="http://schemas.openxmlformats.org/spreadsheetml/2006/main" xmlns:r="http://schemas.openxmlformats.org/officeDocument/2006/relationships">
  <dimension ref="A1:J14"/>
  <sheetViews>
    <sheetView workbookViewId="0"/>
  </sheetViews>
  <cols>
    <col min="1" max="1" customWidth="1" width="6"/>
    <col min="2" max="2" customWidth="1" width="10"/>
    <col min="3" max="3" customWidth="1" width="38"/>
    <col min="4" max="4" customWidth="1" width="32"/>
    <col min="5" max="5" customWidth="1" width="22"/>
    <col min="6" max="6" customWidth="1" width="12"/>
    <col min="7" max="7" customWidth="1" width="28"/>
    <col min="8" max="8" customWidth="1" width="65"/>
    <col min="9" max="9" customWidth="1" width="14"/>
    <col min="10" max="10" customWidth="1" width="25"/>
  </cols>
  <sheetData>
    <row r="1">
      <c r="A1" t="str">
        <v>BẢNG TỔNG HỢP LỘ TRÌNH ĐÀO TẠO, SỐ KỲ &amp; SỐ MÔN HỌC THEO TỪNG CHƯƠNG TRÌNH (ISME)</v>
      </c>
    </row>
    <row r="2">
      <c r="A2" t="str">
        <v>Áp dụng: Quy chuẩn học vụ &amp; theo dõi KPI Viện Đào tạo Quốc tế</v>
      </c>
    </row>
    <row r="3">
      <c r="A3" t="str">
        <v/>
      </c>
    </row>
    <row r="4">
      <c r="A4" t="str">
        <v>STT</v>
      </c>
      <c r="B4" t="str">
        <v>Mã CT</v>
      </c>
      <c r="C4" t="str">
        <v>Tên chương trình đào tạo</v>
      </c>
      <c r="D4" t="str">
        <v>Loại hình / Mô hình đào tạo</v>
      </c>
      <c r="E4" t="str">
        <v>Thời gian đào tạo</v>
      </c>
      <c r="F4" t="str">
        <v>Số kỳ chuẩn</v>
      </c>
      <c r="G4" t="str">
        <v>Các học kỳ áp dụng</v>
      </c>
      <c r="H4" t="str">
        <v>Quy chuẩn danh sách môn học</v>
      </c>
      <c r="I4" t="str">
        <v>Số môn hệ thống</v>
      </c>
      <c r="J4" t="str">
        <v>Điều phối viên phụ trách chính</v>
      </c>
    </row>
    <row r="5">
      <c r="A5">
        <v>1</v>
      </c>
      <c r="B5" t="str">
        <v>NAM1</v>
      </c>
      <c r="C5" t="str">
        <v>Ban Quản lý &amp; Vận hành Chương trình Năm 1</v>
      </c>
      <c r="D5" t="str">
        <v>Đào tạo cơ sở &amp; Chuẩn bị tiếng Anh</v>
      </c>
      <c r="E5" t="str">
        <v>1 năm (Năm nhất)</v>
      </c>
      <c r="F5" t="str">
        <v>3 kỳ</v>
      </c>
      <c r="G5" t="str">
        <v>SEM FALL, SEM SPRING, SEM SUMMER</v>
      </c>
      <c r="H5" t="str">
        <v>Các Level Tiếng Anh (Level 1, 2, 3, 4) và các môn kiến thức cơ sở (Basic Economics, Study Skills, Maths in Economic, Data Analysis and AI).</v>
      </c>
      <c r="I5">
        <v>15</v>
      </c>
      <c r="J5" t="str">
        <v>Bùi Thị Quỳnh Trang</v>
      </c>
    </row>
    <row r="6">
      <c r="A6">
        <v>2</v>
      </c>
      <c r="B6" t="str">
        <v>BBAE</v>
      </c>
      <c r="C6" t="str">
        <v>Cử nhân Khởi nghiệp &amp; Phát triển kinh doanh (BBAE)</v>
      </c>
      <c r="D6" t="str">
        <v>Cử nhân chính quy cấp bằng (Full 4 năm)</v>
      </c>
      <c r="E6" t="str">
        <v>4 năm (Năm 1 -&gt; Năm 4)</v>
      </c>
      <c r="F6" t="str">
        <v>8 kỳ</v>
      </c>
      <c r="G6" t="str">
        <v>SEM 1 (Fall) &amp; SEM 2 (Spring) cho cả 4 năm</v>
      </c>
      <c r="H6" t="str">
        <v>Toàn bộ lộ trình từ môn đại cương, cơ sở ngành (Kinh tế vi mô, vĩ mô, Kế toán, Marketing), chuyên ngành (Đổi mới sáng tạo, Tư duy thiết kế khởi nghiệp) đến Thực tập tốt nghiệp.</v>
      </c>
      <c r="I6">
        <v>40</v>
      </c>
      <c r="J6" t="str">
        <v>Nguyễn Minh Tuấn</v>
      </c>
    </row>
    <row r="7">
      <c r="A7">
        <v>3</v>
      </c>
      <c r="B7" t="str">
        <v>DM</v>
      </c>
      <c r="C7" t="str">
        <v>Cử nhân Digital Marketing</v>
      </c>
      <c r="D7" t="str">
        <v>Cử nhân chính quy cấp bằng (Full 4 năm)</v>
      </c>
      <c r="E7" t="str">
        <v>4 năm (Năm 1 -&gt; Năm 4)</v>
      </c>
      <c r="F7" t="str">
        <v>8 kỳ</v>
      </c>
      <c r="G7" t="str">
        <v>SEM 1 (Fall) &amp; SEM 2 (Spring) cho cả 4 năm</v>
      </c>
      <c r="H7" t="str">
        <v>Chuyên ngành Marketing số: Marketing Essentials, Digital Tools, Analytics, Customer Journeys, Content Marketing, Chiến lược số và Khóa luận tốt nghiệp.</v>
      </c>
      <c r="I7">
        <v>23</v>
      </c>
      <c r="J7" t="str">
        <v>Bùi Thu Trang</v>
      </c>
    </row>
    <row r="8">
      <c r="A8">
        <v>4</v>
      </c>
      <c r="B8" t="str">
        <v>AU</v>
      </c>
      <c r="C8" t="str">
        <v>Cử nhân Đại học Andrews (Hoa Kỳ)</v>
      </c>
      <c r="D8" t="str">
        <v>Cử nhân quốc tế cấp bằng (Full 4 năm)</v>
      </c>
      <c r="E8" t="str">
        <v>4 năm (Năm 1 -&gt; Năm 4)</v>
      </c>
      <c r="F8" t="str">
        <v>10 kỳ</v>
      </c>
      <c r="G8" t="str">
        <v>SEM 1, SEM 2, SEM AU, SEM SP, SEM SU</v>
      </c>
      <c r="H8" t="str">
        <v>Toàn bộ các môn học theo chuẩn kiểm định Hoa Kỳ: Biology with lab, American History, Micro/Macro, Finance, Investments, Business Ethics, International Management, Strategy...</v>
      </c>
      <c r="I8">
        <v>43</v>
      </c>
      <c r="J8" t="str">
        <v>Đào Ngọc Diệp</v>
      </c>
    </row>
    <row r="9">
      <c r="A9">
        <v>5</v>
      </c>
      <c r="B9" t="str">
        <v>NHTC</v>
      </c>
      <c r="C9" t="str">
        <v>Cử nhân Ngân hàng - Tài chính Quốc tế</v>
      </c>
      <c r="D9" t="str">
        <v>Cử nhân quốc tế cấp bằng (Full 3-4 năm)</v>
      </c>
      <c r="E9" t="str">
        <v>3-4 năm (Khóa I18, I19, I20)</v>
      </c>
      <c r="F9" t="str">
        <v>8 kỳ</v>
      </c>
      <c r="G9" t="str">
        <v>SEM 1 (Fall) &amp; SEM 2 (Spring) các năm 2, 3, 4</v>
      </c>
      <c r="H9" t="str">
        <v>Chuyên sâu Tài chính - Ngân hàng: Modern Banking, Financial Analysis, Econometrics, Portfolio Management, Credit Risk Analysis, Thị trường tài chính quốc tế và Project.</v>
      </c>
      <c r="I9">
        <v>39</v>
      </c>
      <c r="J9" t="str">
        <v>Trần Thị Bích Ngọc</v>
      </c>
    </row>
    <row r="10">
      <c r="A10">
        <v>6</v>
      </c>
      <c r="B10" t="str">
        <v>BTEC</v>
      </c>
      <c r="C10" t="str">
        <v>Cao đẳng Quốc tế BTEC HND</v>
      </c>
      <c r="D10" t="str">
        <v>Chương trình nghề nghiệp Anh quốc (Pearson)</v>
      </c>
      <c r="E10" t="str">
        <v>2 năm (Level 4 &amp; Level 5)</v>
      </c>
      <c r="F10" t="str">
        <v>4 kỳ</v>
      </c>
      <c r="G10" t="str">
        <v>SEM 1 (Fall) &amp; SEM 2 (Spring)</v>
      </c>
      <c r="H10" t="str">
        <v>15 Unit chuẩn Pearson Edexcel: Contemporary Business Environment, Marketing Processes, Human Resources, Accounting Principles, Business Law, Research Project...</v>
      </c>
      <c r="I10">
        <v>21</v>
      </c>
      <c r="J10" t="str">
        <v>Trần Hương Thảo</v>
      </c>
    </row>
    <row r="11">
      <c r="A11">
        <v>7</v>
      </c>
      <c r="B11" t="str">
        <v>UWE</v>
      </c>
      <c r="C11" t="str">
        <v>Cử nhân Chuyển tiếp Top-up ĐH West of England (UWE)</v>
      </c>
      <c r="D11" t="str">
        <v>Chương trình Chuyển tiếp (Năm cuối - Level 6)</v>
      </c>
      <c r="E11" t="str">
        <v>1 năm cuối (Year 4)</v>
      </c>
      <c r="F11" t="str">
        <v>2 kỳ</v>
      </c>
      <c r="G11" t="str">
        <v>SEM 1 &amp; SEM 2 (Khóa I18, I19, I20)</v>
      </c>
      <c r="H11" t="str">
        <v>Các môn chuyên ngành năm cuối: Multinationals in Global Context (MDGC), Business Management Simulation (IBMS), Global Marketing (GMM), Business Strategy, Business Project (BP)...</v>
      </c>
      <c r="I11">
        <v>27</v>
      </c>
      <c r="J11" t="str">
        <v>Vũ Minh Nhật</v>
      </c>
    </row>
    <row r="12">
      <c r="A12">
        <v>8</v>
      </c>
      <c r="B12" t="str">
        <v>CU</v>
      </c>
      <c r="C12" t="str">
        <v>Cử nhân Chuyển tiếp Top-up ĐH Coventry (CU)</v>
      </c>
      <c r="D12" t="str">
        <v>Chương trình Chuyển tiếp (Năm cuối - Level 6)</v>
      </c>
      <c r="E12" t="str">
        <v>1 năm cuối (Year 4)</v>
      </c>
      <c r="F12" t="str">
        <v>2 kỳ</v>
      </c>
      <c r="G12" t="str">
        <v>SEM 1 &amp; SEM 2 (Khóa I19 MX, I19 MT)</v>
      </c>
      <c r="H12" t="str">
        <v>Các môn học nhận bằng ĐH Coventry: Academic Writing 3, Career Development, Responsible Business Strategy, Marketing Strategy, Graduation Project...</v>
      </c>
      <c r="I12">
        <v>15</v>
      </c>
      <c r="J12" t="str">
        <v>Nguyễn Giang Khánh Huyền</v>
      </c>
    </row>
    <row r="13">
      <c r="A13" t="str">
        <v/>
      </c>
    </row>
    <row r="14">
      <c r="A14" t="str">
        <v>TỔNG CỘNG HỆ THỐNG</v>
      </c>
      <c r="B14" t="str">
        <v/>
      </c>
      <c r="C14" t="str">
        <v>8 Chương trình Đào tạo Đại học &amp; Liên kết Quốc tế</v>
      </c>
      <c r="D14" t="str">
        <v/>
      </c>
      <c r="E14" t="str">
        <v/>
      </c>
      <c r="F14" t="str">
        <v/>
      </c>
      <c r="G14" t="str">
        <v/>
      </c>
      <c r="H14" t="str">
        <v>Toàn bộ các môn học theo từng kỳ đã được số hóa và đồng bộ đầy đủ trên hệ thống ISME Ops OS.</v>
      </c>
      <c r="I14">
        <v>223</v>
      </c>
      <c r="J14" t="str">
        <v>Viện ISME</v>
      </c>
    </row>
  </sheetData>
  <ignoredErrors>
    <ignoredError numberStoredAsText="1" sqref="A1:J14"/>
  </ignoredErrors>
</worksheet>
</file>

<file path=xl/worksheets/sheet5.xml><?xml version="1.0" encoding="utf-8"?>
<worksheet xmlns="http://schemas.openxmlformats.org/spreadsheetml/2006/main" xmlns:r="http://schemas.openxmlformats.org/officeDocument/2006/relationships">
  <dimension ref="A1:B21"/>
  <sheetViews>
    <sheetView workbookViewId="0"/>
  </sheetViews>
  <cols>
    <col min="1" max="1" customWidth="1" width="35"/>
    <col min="2" max="2" customWidth="1" width="85"/>
  </cols>
  <sheetData>
    <row r="1">
      <c r="A1" t="str">
        <v>HƯỚNG DẪN SỬ DỤNG FILE TEMPLATE CHUẨN ĐÁNH GIÁ KPI &amp; MÔN HỌC VIỆN ISME</v>
      </c>
    </row>
    <row r="2">
      <c r="A2" t="str">
        <v>File chuẩn được ban hành theo quy định của Ban Đào tạo đại học - Viện Đào tạo Quốc tế (ISME)</v>
      </c>
    </row>
    <row r="3">
      <c r="A3" t="str">
        <v/>
      </c>
    </row>
    <row r="4">
      <c r="A4" t="str">
        <v>1. ĐỐI TƯỢNG VÀ NGUYÊN TẮC ÁP DỤNG</v>
      </c>
    </row>
    <row r="5">
      <c r="A5" t="str">
        <v>- Điều phối viên Ban Năm 1:</v>
      </c>
      <c r="B5" t="str">
        <v>Phụ trách nhập và theo dõi danh sách môn tiếng Anh (Level 1, 2, 3, 4) và các môn cơ sở của sinh viên năm nhất.</v>
      </c>
    </row>
    <row r="6">
      <c r="A6" t="str">
        <v>- Điều phối viên các chương trình Cử nhân cấp bằng 4 năm (BBAE, AU, DM, NHTC):</v>
      </c>
      <c r="B6" t="str">
        <v>Theo dõi toàn bộ môn học trong kỳ của cả 4 năm (Năm 1, Năm 2, Năm 3, Năm 4) theo đúng khung chương trình.</v>
      </c>
    </row>
    <row r="7">
      <c r="A7" t="str">
        <v>- Điều phối viên chương trình BTEC (2 năm) và Top-up (UWE, CU):</v>
      </c>
      <c r="B7" t="str">
        <v>Theo dõi các môn học theo năm 1-2 (BTEC) hoặc năm cuối Level 6 chuyển tiếp nhận bằng Anh quốc.</v>
      </c>
    </row>
    <row r="8">
      <c r="A8" t="str">
        <v/>
      </c>
    </row>
    <row r="9">
      <c r="A9" t="str">
        <v>2. CÔNG THỨC TÍNH ĐIỂM KPI MÔN HỌC CHUẨN CỦA VIỆN (SHEET 2 &amp; SHEET 3)</v>
      </c>
    </row>
    <row r="10">
      <c r="A10" t="str">
        <v>Chỉ tiêu Đi học chuyên cần:</v>
      </c>
      <c r="B10" t="str">
        <v>Mức hoàn thành = Thực tế Đi học / Mục tiêu Đi học. (Nếu không áp dụng điểm danh ghi N/A)</v>
      </c>
    </row>
    <row r="11">
      <c r="A11" t="str">
        <v>Chỉ tiêu Nộp bài đúng hạn:</v>
      </c>
      <c r="B11" t="str">
        <v>Mức hoàn thành = Thực tế Nộp bài / Mục tiêu Nộp bài. (Nếu không có bài nộp ghi N/A)</v>
      </c>
    </row>
    <row r="12">
      <c r="A12" t="str">
        <v>Chỉ tiêu Điểm Pass (có bù Resit):</v>
      </c>
      <c r="B12" t="str">
        <v>Áp dụng công thức Excel chính thức của Viện:</v>
      </c>
    </row>
    <row r="13">
      <c r="A13" t="str">
        <v/>
      </c>
      <c r="B13" t="str">
        <v>=IF((Pass1st / Target) &gt;= 1, Pass1st / Target, MIN(1, (Pass1st / Target) + ((PassResit / Target) * 1)))</v>
      </c>
    </row>
    <row r="14">
      <c r="A14" t="str">
        <v>Ý nghĩa công thức:</v>
      </c>
      <c r="B14" t="str">
        <v>Nếu tỷ lệ Pass lần 1 đã đạt hoặc vượt mục tiêu thì lấy theo Pass 1st. Nếu chưa đạt, được cộng bù tỷ lệ sinh viên đỗ sau đợt thi lại (Resit) nhưng tối đa không quá 100% mục tiêu.</v>
      </c>
    </row>
    <row r="15">
      <c r="A15" t="str">
        <v/>
      </c>
    </row>
    <row r="16">
      <c r="A16" t="str">
        <v>3. CƠ CẤU 100% ĐIỂM KPI TỔNG HỢP</v>
      </c>
    </row>
    <row r="17">
      <c r="A17" t="str">
        <v>- Nhóm 1: Chỉ tiêu Vận hành (50%)</v>
      </c>
      <c r="B17" t="str">
        <v>10 chỉ tiêu quản lý học vụ (OP1 -&gt; OP10) tại Sheet 1</v>
      </c>
    </row>
    <row r="18">
      <c r="A18" t="str">
        <v>- Nhóm 2: Hoạt động Hỗ trợ học tập (20%)</v>
      </c>
      <c r="B18" t="str">
        <v>Chỉ tiêu ngoại khóa học thuật (OP5_AS) tại Sheet 1</v>
      </c>
    </row>
    <row r="19">
      <c r="A19" t="str">
        <v>- Nhóm 3: Kết quả SV &amp; Kỷ luật (20%)</v>
      </c>
      <c r="B19" t="str">
        <v>Tính bình quân mức hoàn thành các môn học trong kỳ tại Sheet 2</v>
      </c>
    </row>
    <row r="20">
      <c r="A20" t="str">
        <v>- Nhóm 4: Hoạt động khác (10%)</v>
      </c>
      <c r="B20" t="str">
        <v>Tuyển sinh, hỗ trợ du học/trao đổi, đóng góp chung (OTHER11 -&gt; OTHER13) tại Sheet 1</v>
      </c>
    </row>
    <row r="21">
      <c r="A21" t="str">
        <v>TỔNG ĐIỂM KPI</v>
      </c>
      <c r="B21" t="str">
        <v>= (Vận hành * 50%) + (Hỗ trợ HT * 20%) + (Kết quả SV * 20%) + (Khác * 10%)</v>
      </c>
    </row>
  </sheetData>
  <ignoredErrors>
    <ignoredError numberStoredAsText="1" sqref="A1:B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OPERATION (50%) &amp; HĐ HTHT (20%)</vt:lpstr>
      <vt:lpstr>KQ SV &amp; KỶ LUẬT SV (20%)</vt:lpstr>
      <vt:lpstr>DS_223_MON_HOC_FULL_CAC_CT</vt:lpstr>
      <vt:lpstr>LO_TRINH_DAO_TAO_THEO_KY</vt:lpstr>
      <vt:lpstr>HUONG_DAN_&amp;_QUY_DINH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