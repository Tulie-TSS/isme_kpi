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PERATION (50%) &amp; HĐ HTHT (20%)" sheetId="1" r:id="rId1"/>
    <sheet name="KQ SV &amp; KỶ LUẬT SV (20%)" sheetId="2" r:id="rId2"/>
    <sheet name="list các môn học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1"/>
  <sheetViews>
    <sheetView workbookViewId="0"/>
  </sheetViews>
  <cols>
    <col min="1" max="1" customWidth="1" width="5"/>
    <col min="2" max="2" customWidth="1" width="22"/>
    <col min="3" max="3" customWidth="1" width="25"/>
    <col min="4" max="4" customWidth="1" width="32"/>
    <col min="5" max="5" customWidth="1" width="45"/>
    <col min="6" max="6" customWidth="1" width="10"/>
    <col min="7" max="7" customWidth="1" width="14"/>
    <col min="8" max="8" customWidth="1" width="14"/>
    <col min="9" max="9" customWidth="1" width="16"/>
    <col min="10" max="10" customWidth="1" width="14"/>
    <col min="11" max="11" customWidth="1" width="15"/>
    <col min="12" max="12" customWidth="1" width="15"/>
    <col min="13" max="13" customWidth="1" width="35"/>
  </cols>
  <sheetData>
    <row r="1">
      <c r="A1" t="str">
        <v>BẢNG ĐÁNH GIÁ KẾT QUẢ THỰC HIỆN</v>
      </c>
    </row>
    <row r="2">
      <c r="A2" t="str">
        <v>CÔNG VIỆC CÁ NHÂN</v>
      </c>
    </row>
    <row r="3">
      <c r="E3" t="str">
        <v>Kỳ đánh giá: Kỳ II</v>
      </c>
      <c r="F3" t="str">
        <v>Năm: 2025 - 2026</v>
      </c>
    </row>
    <row r="4">
      <c r="A4" t="str">
        <v>Người được đánh giá</v>
      </c>
      <c r="E4" t="str">
        <v>Họ và tên: Nguyễn Minh Tuấn</v>
      </c>
    </row>
    <row r="5">
      <c r="E5" t="str">
        <v>Chức danh: Chủ nhiệm Chương trình BBAE</v>
      </c>
      <c r="F5" t="str">
        <v>Mã chức danh</v>
      </c>
    </row>
    <row r="6">
      <c r="A6" t="str">
        <v>Người đánh giá</v>
      </c>
      <c r="E6" t="str">
        <v>Họ và tên: Hồ Hoàng Lan</v>
      </c>
    </row>
    <row r="7">
      <c r="E7" t="str">
        <v>Chức danh: Trưởng Ban Đào tạo đại học</v>
      </c>
      <c r="F7" t="str">
        <v>Mã chức danh</v>
      </c>
    </row>
    <row r="9">
      <c r="A9" t="str">
        <v>STT</v>
      </c>
      <c r="B9" t="str">
        <v>Mục tiêu hành động của vị trí công việc</v>
      </c>
      <c r="E9" t="str">
        <v>Tiêu chí</v>
      </c>
      <c r="F9" t="str">
        <v>Đơn vị đo</v>
      </c>
      <c r="G9" t="str">
        <v>Mục tiêu đạt KPI</v>
      </c>
      <c r="H9" t="str">
        <v>Số lượng được giao</v>
      </c>
      <c r="I9" t="str">
        <v>Số lượng hoàn thành (tự đánh giá)</v>
      </c>
      <c r="J9" t="str">
        <v>Tỉ lệ hoàn thành (tự đánh giá)</v>
      </c>
      <c r="K9" t="str">
        <v>Đánh giá của line manager (thang điểm từ 1 đến 100)</v>
      </c>
      <c r="L9" t="str">
        <v>Đánh giá của trưởng ban ( thang điểm từ 1 đến 100)</v>
      </c>
      <c r="M9" t="str">
        <v xml:space="preserve">Đánh giá của trưởng ban ( Note dài khoảng 100-200 words) </v>
      </c>
    </row>
    <row r="10">
      <c r="B10" t="str">
        <v>Nội dung đánh giá</v>
      </c>
      <c r="C10" t="str">
        <v>Đầu mục công việc</v>
      </c>
      <c r="D10" t="str">
        <v>Nhóm KPI theo mô tả CV</v>
      </c>
    </row>
    <row r="11">
      <c r="A11" t="str">
        <v>1</v>
      </c>
      <c r="B11" t="str">
        <v>OPERATION (50%)</v>
      </c>
      <c r="C11" t="str">
        <v>Quản lý nội dung giảng dạy</v>
      </c>
      <c r="D11" t="str">
        <v>Làm việc với nhóm GV từng môn về nội dung giảng dạy</v>
      </c>
      <c r="E11" t="str">
        <v>Tỷ lệ các môn học có đầy đủ các tài liệu (SoW, Assessment Plan, Assignment Brief)  theo yêu cầu và đúng tiến độ</v>
      </c>
      <c r="F11" t="str">
        <v>%</v>
      </c>
      <c r="G11" t="str">
        <v>100%</v>
      </c>
      <c r="H11">
        <v>17</v>
      </c>
      <c r="I11">
        <v>17</v>
      </c>
      <c r="J11">
        <f>I11/H11</f>
      </c>
    </row>
    <row r="12">
      <c r="E12" t="str">
        <v xml:space="preserve">Tỷ lệ các môn có đầy đủ tài liệu môn học trong quá trình đúng hạn </v>
      </c>
      <c r="F12" t="str">
        <v>%</v>
      </c>
      <c r="G12" t="str">
        <v>100%</v>
      </c>
      <c r="H12">
        <v>17</v>
      </c>
      <c r="I12">
        <v>17</v>
      </c>
      <c r="J12">
        <f>I12/H12</f>
      </c>
    </row>
    <row r="13" xml:space="preserve">
      <c r="A13" t="str">
        <v>2</v>
      </c>
      <c r="C13" t="str">
        <v>Quản lý tài liệu liên quan GV</v>
      </c>
      <c r="D13" t="str" xml:space="preserve">
        <v xml:space="preserve">Cung cấp thông tin phục vụ hoàn thiện các thủ tục ký hợp đồng, thanh lý hợp đồng giảng, thủ tục thanh toán tiền giảng/trợ giảng
- HĐ GV
- Thanh toán giảng dạy
- Thanh toán chấm bài</v>
      </c>
      <c r="E13" t="str">
        <v>Tỷ lệ giảng viên được cập nhật thông tin theo đúng tiến độ và kế hoạch vận hành</v>
      </c>
      <c r="F13" t="str">
        <v>%</v>
      </c>
      <c r="G13" t="str">
        <v>100%</v>
      </c>
      <c r="H13">
        <v>42</v>
      </c>
      <c r="I13">
        <v>42</v>
      </c>
      <c r="J13">
        <f>I13/H13</f>
      </c>
    </row>
    <row r="14">
      <c r="A14" t="str">
        <v>3</v>
      </c>
      <c r="C14" t="str">
        <v>Vận hành Lớp học</v>
      </c>
      <c r="D14" t="str">
        <v>Tổ chức lớp học</v>
      </c>
      <c r="E14" t="str">
        <v>Tỷ lệ các lớp được set up theo kế hoạch (Làm &amp; TB TKB cho GV &amp; SV, tạo lớp Moodle, tạo account cho GV và SV, enroll GV và SV)</v>
      </c>
      <c r="F14" t="str">
        <v>%</v>
      </c>
      <c r="G14" t="str">
        <v>100%</v>
      </c>
      <c r="H14">
        <v>30</v>
      </c>
      <c r="I14">
        <v>30</v>
      </c>
      <c r="J14">
        <f>I14/H14</f>
      </c>
    </row>
    <row r="15">
      <c r="A15" t="str">
        <v>4</v>
      </c>
      <c r="C15" t="str">
        <v>Quản lý điểm</v>
      </c>
      <c r="D15" t="str">
        <v>Quản lý điểm và quá trình đánh giá SV</v>
      </c>
      <c r="E15" t="str">
        <v>Tỷ lệ các môn học hoàn thành điểm theo đúng kế hoạch</v>
      </c>
      <c r="F15" t="str">
        <v>%</v>
      </c>
      <c r="G15" t="str">
        <v>100%</v>
      </c>
      <c r="H15">
        <v>17</v>
      </c>
      <c r="I15">
        <v>17</v>
      </c>
      <c r="J15">
        <f>I15/H15</f>
      </c>
    </row>
    <row r="16">
      <c r="A16" t="str">
        <v>5</v>
      </c>
      <c r="B16" t="str">
        <v>OPERATION (50%) &amp; HĐ hỗ trợ HT (20%)</v>
      </c>
      <c r="C16" t="str">
        <v>Hoạt động ngoại khóa</v>
      </c>
      <c r="D16" t="str">
        <v>Tổ chức hoạt động Tọa đàm, hội thảo chuyên đề, guest speaker, field trip</v>
      </c>
      <c r="E16" t="str">
        <v xml:space="preserve">Số lượng các hoạt động được triển khai </v>
      </c>
      <c r="F16" t="str">
        <v>%</v>
      </c>
      <c r="G16" t="str">
        <v>100%</v>
      </c>
      <c r="H16">
        <v>4</v>
      </c>
      <c r="I16">
        <v>4</v>
      </c>
      <c r="J16">
        <f>I16/H16</f>
      </c>
    </row>
    <row r="17">
      <c r="A17" t="str">
        <v>6</v>
      </c>
      <c r="B17" t="str">
        <v>OPERATION (50%)</v>
      </c>
      <c r="C17" t="str">
        <v>Rà soát kết quả học tập</v>
      </c>
      <c r="D17" t="str">
        <v>Rà soát kết quả học tập, hồ sơ hoàn thành chương trình</v>
      </c>
      <c r="E17" t="str">
        <v>Tỷ lệ các môn học có file kết quả rà soát theo yêu cầu</v>
      </c>
      <c r="F17" t="str">
        <v>%</v>
      </c>
      <c r="G17" t="str">
        <v>100%</v>
      </c>
      <c r="H17">
        <v>10</v>
      </c>
      <c r="I17">
        <v>10</v>
      </c>
      <c r="J17">
        <f>I17/H17</f>
      </c>
    </row>
    <row r="18">
      <c r="A18" t="str">
        <v>7</v>
      </c>
      <c r="C18" t="str">
        <v>Turnitin</v>
      </c>
      <c r="D18" t="str">
        <v>Giám sát liêm chính học thuật</v>
      </c>
      <c r="E18" t="str">
        <v>'Tỷ lệ các môn học có báo cáo kết quả rà soát Turnitin theo yêu cầu</v>
      </c>
      <c r="F18" t="str">
        <v>%</v>
      </c>
      <c r="G18" t="str">
        <v>100%</v>
      </c>
      <c r="H18">
        <v>3</v>
      </c>
      <c r="I18">
        <v>3</v>
      </c>
      <c r="J18">
        <f>I18/H18</f>
      </c>
    </row>
    <row r="19">
      <c r="A19" t="str">
        <v>8</v>
      </c>
      <c r="C19" t="str">
        <v>Phản hồi GV &amp; SV</v>
      </c>
      <c r="D19" t="str">
        <v>Xử lý các phản hồi của SV &amp; GV</v>
      </c>
      <c r="E19" t="str">
        <v>Số lượng kiến nghị của sinh viên được xử lý kịp thời (SV KHÔNG phải phản hồi lên cấp cao hơn)</v>
      </c>
      <c r="F19" t="str">
        <v>%</v>
      </c>
      <c r="G19" t="str">
        <v>100%</v>
      </c>
      <c r="H19">
        <v>3</v>
      </c>
      <c r="I19">
        <v>3</v>
      </c>
      <c r="J19">
        <f>I19/H19</f>
      </c>
    </row>
    <row r="20">
      <c r="A20" t="str">
        <v>9</v>
      </c>
      <c r="C20" t="str">
        <v xml:space="preserve"> Module report &amp; Feedback</v>
      </c>
      <c r="D20" t="str">
        <v>Hoàn thành module report và gửi feedback của SV cho GV</v>
      </c>
      <c r="E20" t="str">
        <v>Tỉ lệ số môn học đã làm feedback và gửi report xử lý số liệu cho GV</v>
      </c>
      <c r="F20" t="str">
        <v>%</v>
      </c>
      <c r="G20" t="str">
        <v>100%</v>
      </c>
      <c r="H20">
        <v>17</v>
      </c>
      <c r="I20">
        <v>17</v>
      </c>
      <c r="J20">
        <f>I20/H20</f>
      </c>
    </row>
    <row r="21">
      <c r="A21" t="str">
        <v>10</v>
      </c>
      <c r="C21" t="str">
        <v>Hồ sơ SV</v>
      </c>
      <c r="D21" t="str">
        <v>Quản lý tiến trình học tập của sinh viên</v>
      </c>
      <c r="E21" t="str">
        <v>Tỷ lệ hồ sơ sinh viên được cập nhật &amp; giải quyết, đồng bộ thông tin học tập chính xác theo các mốc tiến độ trong kỳ. (Các giấy tờ liên quan đến Giấy xác nhận, lớp học lại...)</v>
      </c>
      <c r="F21" t="str">
        <v>%</v>
      </c>
      <c r="G21" t="str">
        <v>100%</v>
      </c>
      <c r="H21">
        <v>13</v>
      </c>
      <c r="I21">
        <v>13</v>
      </c>
      <c r="J21">
        <f>I21/H21</f>
      </c>
    </row>
    <row r="22">
      <c r="A22" t="str">
        <v>11</v>
      </c>
      <c r="B22" t="str">
        <v>HĐ khác (10%)</v>
      </c>
      <c r="C22" t="str">
        <v>Tuyển sinh</v>
      </c>
      <c r="D22" t="str">
        <v>Tham gia công tác tuyển sinh</v>
      </c>
      <c r="E22" t="str">
        <v>Số lượng hoạt động tuyển sinh đã tham gia</v>
      </c>
      <c r="F22" t="str">
        <v>%</v>
      </c>
      <c r="G22" t="str">
        <v>100%</v>
      </c>
      <c r="H22">
        <v>15</v>
      </c>
      <c r="I22">
        <v>15</v>
      </c>
      <c r="J22">
        <f>I22/H22</f>
      </c>
    </row>
    <row r="23">
      <c r="A23" t="str">
        <v>12</v>
      </c>
      <c r="C23" t="str">
        <v>Hỗ trợ SV du học &amp; exchange</v>
      </c>
      <c r="D23" t="str">
        <v>Quản lý &amp; hỗ trợ SV trao đổi/ du học</v>
      </c>
      <c r="E23" t="str">
        <v>Tỷ lệ sinh viên có nhu cầu chuyển tiếp/trao đổi được hỗ trợ hoàn thiện hồ sơ đi nước ngoài, mở tài khoản phần mềm liên kết và xuất bảng điểm kịp thời.</v>
      </c>
      <c r="F23" t="str">
        <v>%</v>
      </c>
      <c r="G23" t="str">
        <v>100%</v>
      </c>
      <c r="H23">
        <v>4</v>
      </c>
      <c r="I23">
        <v>4</v>
      </c>
      <c r="J23">
        <f>I23/H23</f>
      </c>
    </row>
    <row r="24">
      <c r="A24" t="str">
        <v>13</v>
      </c>
      <c r="C24" t="str">
        <v>Hoạt động khác</v>
      </c>
      <c r="D24" t="str">
        <v>Các hoạt động khác do Viện tổ chức</v>
      </c>
      <c r="E24" t="str">
        <v>Số lượng hoạt động đã tham gia đóng góp</v>
      </c>
      <c r="F24" t="str">
        <v>%</v>
      </c>
      <c r="G24" t="str">
        <v>100%</v>
      </c>
      <c r="H24">
        <v>5</v>
      </c>
      <c r="I24">
        <v>5</v>
      </c>
      <c r="J24">
        <f>I24/H24</f>
      </c>
    </row>
    <row r="26">
      <c r="D26" t="str">
        <v>Người Duyệt</v>
      </c>
      <c r="E26" t="str">
        <v>Người đánh giá</v>
      </c>
      <c r="I26" t="str">
        <v>Người được đánh giá</v>
      </c>
    </row>
    <row r="31">
      <c r="D31" t="str">
        <v>Trưởng Ban</v>
      </c>
      <c r="E31" t="str">
        <v>Cán bộ quản lý trực tiếp</v>
      </c>
      <c r="I31" t="str">
        <v>Nguyễn Minh Tuấn</v>
      </c>
    </row>
  </sheetData>
  <mergeCells count="34">
    <mergeCell ref="F5:I5"/>
    <mergeCell ref="K5:L5"/>
    <mergeCell ref="A1:L1"/>
    <mergeCell ref="A2:L2"/>
    <mergeCell ref="A3:D3"/>
    <mergeCell ref="F3:I3"/>
    <mergeCell ref="K3:L3"/>
    <mergeCell ref="A4:D5"/>
    <mergeCell ref="E4:L4"/>
    <mergeCell ref="F9:F10"/>
    <mergeCell ref="G9:G10"/>
    <mergeCell ref="H9:H10"/>
    <mergeCell ref="I9:I10"/>
    <mergeCell ref="J9:J10"/>
    <mergeCell ref="K9:K10"/>
    <mergeCell ref="M9:M10"/>
    <mergeCell ref="I26:L26"/>
    <mergeCell ref="L27:L30"/>
    <mergeCell ref="I31:L31"/>
    <mergeCell ref="B9:D9"/>
    <mergeCell ref="A11:A12"/>
    <mergeCell ref="B11:B15"/>
    <mergeCell ref="C11:C12"/>
    <mergeCell ref="D11:D12"/>
    <mergeCell ref="B17:B21"/>
    <mergeCell ref="B22:B24"/>
    <mergeCell ref="D27:D30"/>
    <mergeCell ref="A6:D7"/>
    <mergeCell ref="E6:L6"/>
    <mergeCell ref="F7:I7"/>
    <mergeCell ref="K7:L7"/>
    <mergeCell ref="A8:L8"/>
    <mergeCell ref="E9:E10"/>
    <mergeCell ref="L9:L10"/>
  </mergeCells>
  <ignoredErrors>
    <ignoredError numberStoredAsText="1" sqref="A1:M3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P19"/>
  <sheetViews>
    <sheetView workbookViewId="0"/>
  </sheetViews>
  <cols>
    <col min="1" max="1" customWidth="1" width="14"/>
    <col min="2" max="2" customWidth="1" width="12"/>
    <col min="3" max="3" customWidth="1" width="16"/>
    <col min="4" max="4" customWidth="1" width="38"/>
    <col min="5" max="5" customWidth="1" width="10"/>
    <col min="6" max="6" customWidth="1" width="10"/>
    <col min="7" max="7" customWidth="1" width="14"/>
    <col min="8" max="8" customWidth="1" width="14"/>
    <col min="9" max="9" customWidth="1" width="16"/>
    <col min="10" max="10" customWidth="1" width="14"/>
    <col min="11" max="11" customWidth="1" width="14"/>
    <col min="12" max="12" customWidth="1" width="15"/>
    <col min="13" max="13" customWidth="1" width="16"/>
    <col min="14" max="14" customWidth="1" width="15"/>
    <col min="15" max="15" customWidth="1" width="22"/>
    <col min="16" max="16" customWidth="1" width="18"/>
  </cols>
  <sheetData>
    <row r="1">
      <c r="G1" t="str">
        <v>MỤC TIÊU ĐẦU KỲ</v>
      </c>
      <c r="J1" t="str">
        <v>KẾT QUẢ CUỐI KỲ</v>
      </c>
      <c r="N1" t="str">
        <v>MỨC ĐỘ HOÀN THÀNH</v>
      </c>
    </row>
    <row r="2">
      <c r="G2" t="str">
        <v>Kỷ luật</v>
      </c>
      <c r="H2" t="str">
        <v>Học tập</v>
      </c>
      <c r="J2" t="str">
        <v>Kỷ luật</v>
      </c>
      <c r="K2" t="str">
        <v>Học tập</v>
      </c>
      <c r="N2" t="str">
        <v>Kỷ luật</v>
      </c>
      <c r="O2" t="str">
        <v>Học tập</v>
      </c>
    </row>
    <row r="3">
      <c r="A3" t="str">
        <v>Chương trình</v>
      </c>
      <c r="B3" t="str">
        <v>Kỳ học</v>
      </c>
      <c r="C3" t="str">
        <v>Khóa</v>
      </c>
      <c r="D3" t="str">
        <v>Môn</v>
      </c>
      <c r="E3" t="str">
        <v>Số lượng GV</v>
      </c>
      <c r="F3" t="str">
        <v>Số lượng sinh viên</v>
      </c>
      <c r="G3" t="str">
        <v>Tỉ lệ đi học đầy đủ</v>
      </c>
      <c r="H3" t="str">
        <v>Mục tiêu pass 1st</v>
      </c>
      <c r="I3" t="str">
        <v>Mục tiêu nộp bài/ thi lần đầu đúng hạn</v>
      </c>
      <c r="J3" t="str">
        <v>Tỉ lệ đi học đầy đủ</v>
      </c>
      <c r="K3" t="str">
        <v>Tỉ lệ pass 1st</v>
      </c>
      <c r="L3" t="str">
        <v>Tỉ lệ pass sau Resit</v>
      </c>
      <c r="M3" t="str">
        <v>Tỷ lệ nộp bài/thi lần đầu đúng hạn</v>
      </c>
      <c r="N3" t="str">
        <v>Tỉ lệ đi học đầy đủ</v>
      </c>
      <c r="O3" t="str">
        <v>Tỉ lệ pass (Điểm hiệu suất học tập sau khi đã tính bù điểm Resit)</v>
      </c>
      <c r="P3" t="str">
        <v>Tỷ lệ nộp bài/thi lần đầu đúng hạn</v>
      </c>
    </row>
    <row r="4">
      <c r="A4" t="str">
        <v>BBAE</v>
      </c>
      <c r="B4" t="str">
        <v>SEM 2</v>
      </c>
      <c r="C4" t="str">
        <v>BBAE K67</v>
      </c>
      <c r="D4" t="str">
        <v>Introduction to Environmental Studies</v>
      </c>
      <c r="E4">
        <v>1</v>
      </c>
      <c r="F4">
        <v>101</v>
      </c>
      <c r="G4">
        <v>0.95</v>
      </c>
      <c r="H4">
        <v>0.95</v>
      </c>
      <c r="I4">
        <v>0.95</v>
      </c>
      <c r="J4">
        <v>1</v>
      </c>
      <c r="K4">
        <v>1</v>
      </c>
      <c r="L4">
        <v>0</v>
      </c>
      <c r="M4">
        <v>1</v>
      </c>
      <c r="N4">
        <f>IF(OR(G4="N/A",J4="N/A"),"N/A",J4/G4)</f>
      </c>
      <c r="O4">
        <f>IF(OR(H4="N/A",K4="N/A"),"N/A",IF((K4/H4)&gt;=1, K4/H4, MIN(1, (K4/H4) + ((IF(OR(L4="N/A",L4=""),0,L4)/H4)*1))))</f>
      </c>
      <c r="P4">
        <f>IF(OR(I4="N/A",M4="N/A"),"N/A",M4/I4)</f>
      </c>
    </row>
    <row r="5">
      <c r="A5" t="str">
        <v>BBAE</v>
      </c>
      <c r="B5" t="str">
        <v>SEM 2</v>
      </c>
      <c r="C5" t="str">
        <v>BBAE K67</v>
      </c>
      <c r="D5" t="str">
        <v>Introduction to Calculus</v>
      </c>
      <c r="E5">
        <v>1</v>
      </c>
      <c r="F5">
        <v>109</v>
      </c>
      <c r="G5">
        <v>0.95</v>
      </c>
      <c r="H5">
        <v>0.95</v>
      </c>
      <c r="I5">
        <v>0.95</v>
      </c>
      <c r="J5">
        <v>0.9898</v>
      </c>
      <c r="K5">
        <v>0.9286</v>
      </c>
      <c r="L5">
        <v>0</v>
      </c>
      <c r="M5">
        <v>0.9898</v>
      </c>
      <c r="N5">
        <f>IF(OR(G5="N/A",J5="N/A"),"N/A",J5/G5)</f>
      </c>
      <c r="O5">
        <f>IF(OR(H5="N/A",K5="N/A"),"N/A",IF((K5/H5)&gt;=1, K5/H5, MIN(1, (K5/H5) + ((IF(OR(L5="N/A",L5=""),0,L5)/H5)*1))))</f>
      </c>
      <c r="P5">
        <f>IF(OR(I5="N/A",M5="N/A"),"N/A",M5/I5)</f>
      </c>
    </row>
    <row r="6">
      <c r="A6" t="str">
        <v>BBAE</v>
      </c>
      <c r="B6" t="str">
        <v>SEM 2</v>
      </c>
      <c r="C6" t="str">
        <v>BBAE K67</v>
      </c>
      <c r="D6" t="str">
        <v>Business Environment</v>
      </c>
      <c r="E6">
        <v>1</v>
      </c>
      <c r="F6">
        <v>102</v>
      </c>
      <c r="G6">
        <v>0.95</v>
      </c>
      <c r="H6">
        <v>0.95</v>
      </c>
      <c r="I6">
        <v>0.95</v>
      </c>
      <c r="J6">
        <v>1</v>
      </c>
      <c r="K6">
        <v>0.9898</v>
      </c>
      <c r="L6">
        <v>0</v>
      </c>
      <c r="M6">
        <v>1</v>
      </c>
      <c r="N6">
        <f>IF(OR(G6="N/A",J6="N/A"),"N/A",J6/G6)</f>
      </c>
      <c r="O6">
        <f>IF(OR(H6="N/A",K6="N/A"),"N/A",IF((K6/H6)&gt;=1, K6/H6, MIN(1, (K6/H6) + ((IF(OR(L6="N/A",L6=""),0,L6)/H6)*1))))</f>
      </c>
      <c r="P6">
        <f>IF(OR(I6="N/A",M6="N/A"),"N/A",M6/I6)</f>
      </c>
    </row>
    <row r="7">
      <c r="A7" t="str">
        <v>BBAE</v>
      </c>
      <c r="B7" t="str">
        <v>SEM 2</v>
      </c>
      <c r="C7" t="str">
        <v>BBAE K67</v>
      </c>
      <c r="D7" t="str">
        <v>English 2</v>
      </c>
      <c r="E7">
        <v>2</v>
      </c>
      <c r="F7">
        <v>18</v>
      </c>
      <c r="G7">
        <v>0.95</v>
      </c>
      <c r="H7">
        <v>0.95</v>
      </c>
      <c r="I7">
        <v>0.95</v>
      </c>
      <c r="J7">
        <v>0.9388</v>
      </c>
      <c r="K7">
        <v>0.9459</v>
      </c>
      <c r="L7">
        <v>0</v>
      </c>
      <c r="M7">
        <v>0.9388</v>
      </c>
      <c r="N7">
        <f>IF(OR(G7="N/A",J7="N/A"),"N/A",J7/G7)</f>
      </c>
      <c r="O7">
        <f>IF(OR(H7="N/A",K7="N/A"),"N/A",IF((K7/H7)&gt;=1, K7/H7, MIN(1, (K7/H7) + ((IF(OR(L7="N/A",L7=""),0,L7)/H7)*1))))</f>
      </c>
      <c r="P7">
        <f>IF(OR(I7="N/A",M7="N/A"),"N/A",M7/I7)</f>
      </c>
    </row>
    <row r="8">
      <c r="A8" t="str">
        <v>BBAE</v>
      </c>
      <c r="B8" t="str">
        <v>SEM 2</v>
      </c>
      <c r="C8" t="str">
        <v>BBAE K67</v>
      </c>
      <c r="D8" t="str">
        <v>Triết học Marx Lenin</v>
      </c>
      <c r="E8">
        <v>2</v>
      </c>
      <c r="F8">
        <v>101</v>
      </c>
      <c r="G8">
        <v>0.95</v>
      </c>
      <c r="H8">
        <v>0.95</v>
      </c>
      <c r="I8">
        <v>0.95</v>
      </c>
      <c r="J8">
        <v>0.9898</v>
      </c>
      <c r="K8">
        <v>0.9898</v>
      </c>
      <c r="L8">
        <v>0</v>
      </c>
      <c r="M8">
        <v>0.9898</v>
      </c>
      <c r="N8">
        <f>IF(OR(G8="N/A",J8="N/A"),"N/A",J8/G8)</f>
      </c>
      <c r="O8">
        <f>IF(OR(H8="N/A",K8="N/A"),"N/A",IF((K8/H8)&gt;=1, K8/H8, MIN(1, (K8/H8) + ((IF(OR(L8="N/A",L8=""),0,L8)/H8)*1))))</f>
      </c>
      <c r="P8">
        <f>IF(OR(I8="N/A",M8="N/A"),"N/A",M8/I8)</f>
      </c>
    </row>
    <row r="9">
      <c r="A9" t="str">
        <v>BBAE</v>
      </c>
      <c r="B9" t="str">
        <v>SEM 2</v>
      </c>
      <c r="C9" t="str">
        <v>BBAE K66</v>
      </c>
      <c r="D9" t="str">
        <v>Managerial Accounting</v>
      </c>
      <c r="E9">
        <v>1</v>
      </c>
      <c r="F9">
        <v>85</v>
      </c>
      <c r="G9">
        <v>0.95</v>
      </c>
      <c r="H9">
        <v>0.95</v>
      </c>
      <c r="I9">
        <v>0.95</v>
      </c>
      <c r="J9">
        <v>1</v>
      </c>
      <c r="K9">
        <v>1</v>
      </c>
      <c r="L9">
        <v>0</v>
      </c>
      <c r="M9">
        <v>1</v>
      </c>
      <c r="N9">
        <f>IF(OR(G9="N/A",J9="N/A"),"N/A",J9/G9)</f>
      </c>
      <c r="O9">
        <f>IF(OR(H9="N/A",K9="N/A"),"N/A",IF((K9/H9)&gt;=1, K9/H9, MIN(1, (K9/H9) + ((IF(OR(L9="N/A",L9=""),0,L9)/H9)*1))))</f>
      </c>
      <c r="P9">
        <f>IF(OR(I9="N/A",M9="N/A"),"N/A",M9/I9)</f>
      </c>
    </row>
    <row r="10">
      <c r="A10" t="str">
        <v>BBAE</v>
      </c>
      <c r="B10" t="str">
        <v>SEM 2</v>
      </c>
      <c r="C10" t="str">
        <v>BBAE K66</v>
      </c>
      <c r="D10" t="str">
        <v>Macroeconomics</v>
      </c>
      <c r="E10">
        <v>2</v>
      </c>
      <c r="F10">
        <v>85</v>
      </c>
      <c r="G10">
        <v>0.95</v>
      </c>
      <c r="H10">
        <v>0.95</v>
      </c>
      <c r="I10">
        <v>0.95</v>
      </c>
      <c r="J10">
        <v>1</v>
      </c>
      <c r="K10">
        <v>0.9882</v>
      </c>
      <c r="L10">
        <v>0</v>
      </c>
      <c r="M10">
        <v>1</v>
      </c>
      <c r="N10">
        <f>IF(OR(G10="N/A",J10="N/A"),"N/A",J10/G10)</f>
      </c>
      <c r="O10">
        <f>IF(OR(H10="N/A",K10="N/A"),"N/A",IF((K10/H10)&gt;=1, K10/H10, MIN(1, (K10/H10) + ((IF(OR(L10="N/A",L10=""),0,L10)/H10)*1))))</f>
      </c>
      <c r="P10">
        <f>IF(OR(I10="N/A",M10="N/A"),"N/A",M10/I10)</f>
      </c>
    </row>
    <row r="11">
      <c r="A11" t="str">
        <v>BBAE</v>
      </c>
      <c r="B11" t="str">
        <v>SEM 2</v>
      </c>
      <c r="C11" t="str">
        <v>BBAE K66</v>
      </c>
      <c r="D11" t="str">
        <v>Principles of Marketing</v>
      </c>
      <c r="E11">
        <v>1</v>
      </c>
      <c r="F11">
        <v>86</v>
      </c>
      <c r="G11">
        <v>0.95</v>
      </c>
      <c r="H11">
        <v>0.95</v>
      </c>
      <c r="I11">
        <v>0.95</v>
      </c>
      <c r="J11">
        <v>1</v>
      </c>
      <c r="K11">
        <v>0.9882</v>
      </c>
      <c r="L11">
        <v>0</v>
      </c>
      <c r="M11">
        <v>1</v>
      </c>
      <c r="N11">
        <f>IF(OR(G11="N/A",J11="N/A"),"N/A",J11/G11)</f>
      </c>
      <c r="O11">
        <f>IF(OR(H11="N/A",K11="N/A"),"N/A",IF((K11/H11)&gt;=1, K11/H11, MIN(1, (K11/H11) + ((IF(OR(L11="N/A",L11=""),0,L11)/H11)*1))))</f>
      </c>
      <c r="P11">
        <f>IF(OR(I11="N/A",M11="N/A"),"N/A",M11/I11)</f>
      </c>
    </row>
    <row r="12">
      <c r="A12" t="str">
        <v>BBAE</v>
      </c>
      <c r="B12" t="str">
        <v>SEM 2</v>
      </c>
      <c r="C12" t="str">
        <v>BBAE K66</v>
      </c>
      <c r="D12" t="str">
        <v>Business Law</v>
      </c>
      <c r="E12">
        <v>1</v>
      </c>
      <c r="F12">
        <v>85</v>
      </c>
      <c r="G12">
        <v>0.95</v>
      </c>
      <c r="H12">
        <v>0.95</v>
      </c>
      <c r="I12">
        <v>0.95</v>
      </c>
      <c r="J12">
        <v>1</v>
      </c>
      <c r="K12">
        <v>0.9882</v>
      </c>
      <c r="L12">
        <v>0</v>
      </c>
      <c r="M12">
        <v>1</v>
      </c>
      <c r="N12">
        <f>IF(OR(G12="N/A",J12="N/A"),"N/A",J12/G12)</f>
      </c>
      <c r="O12">
        <f>IF(OR(H12="N/A",K12="N/A"),"N/A",IF((K12/H12)&gt;=1, K12/H12, MIN(1, (K12/H12) + ((IF(OR(L12="N/A",L12=""),0,L12)/H12)*1))))</f>
      </c>
      <c r="P12">
        <f>IF(OR(I12="N/A",M12="N/A"),"N/A",M12/I12)</f>
      </c>
    </row>
    <row r="13">
      <c r="A13" t="str">
        <v>BBAE</v>
      </c>
      <c r="B13" t="str">
        <v>SEM 2</v>
      </c>
      <c r="C13" t="str">
        <v>BBAE K66</v>
      </c>
      <c r="D13" t="str">
        <v>Business Decision Making 2</v>
      </c>
      <c r="E13">
        <v>1</v>
      </c>
      <c r="F13">
        <v>87</v>
      </c>
      <c r="G13">
        <v>0.95</v>
      </c>
      <c r="H13">
        <v>0.95</v>
      </c>
      <c r="I13">
        <v>0.95</v>
      </c>
      <c r="J13">
        <v>1</v>
      </c>
      <c r="K13">
        <v>0.8824</v>
      </c>
      <c r="L13">
        <v>0</v>
      </c>
      <c r="M13">
        <v>1</v>
      </c>
      <c r="N13">
        <f>IF(OR(G13="N/A",J13="N/A"),"N/A",J13/G13)</f>
      </c>
      <c r="O13">
        <f>IF(OR(H13="N/A",K13="N/A"),"N/A",IF((K13/H13)&gt;=1, K13/H13, MIN(1, (K13/H13) + ((IF(OR(L13="N/A",L13=""),0,L13)/H13)*1))))</f>
      </c>
      <c r="P13">
        <f>IF(OR(I13="N/A",M13="N/A"),"N/A",M13/I13)</f>
      </c>
    </row>
    <row r="15">
      <c r="B15" t="str">
        <v>Người Duyệt</v>
      </c>
      <c r="D15" t="str">
        <v>Người đánh giá</v>
      </c>
      <c r="H15" t="str">
        <v>Người được đánh giá</v>
      </c>
    </row>
    <row r="19">
      <c r="B19" t="str">
        <v>Trưởng Ban</v>
      </c>
      <c r="D19" t="str">
        <v>Cán bộ quản lý trực tiếp</v>
      </c>
      <c r="H19" t="str">
        <v>Nguyễn Minh Tuấn</v>
      </c>
    </row>
  </sheetData>
  <mergeCells count="6">
    <mergeCell ref="G1:I1"/>
    <mergeCell ref="J1:M1"/>
    <mergeCell ref="N1:P1"/>
    <mergeCell ref="H2:I2"/>
    <mergeCell ref="K2:M2"/>
    <mergeCell ref="O2:P2"/>
  </mergeCells>
  <ignoredErrors>
    <ignoredError numberStoredAsText="1" sqref="A1:P1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42"/>
  <sheetViews>
    <sheetView workbookViewId="0"/>
  </sheetViews>
  <cols>
    <col min="1" max="1" customWidth="1" width="6"/>
    <col min="2" max="2" customWidth="1" width="16"/>
    <col min="3" max="3" customWidth="1" width="10"/>
    <col min="4" max="4" customWidth="1" width="14"/>
    <col min="5" max="5" customWidth="1" width="16"/>
    <col min="6" max="6" customWidth="1" width="42"/>
    <col min="7" max="7" customWidth="1" width="8"/>
    <col min="8" max="8" customWidth="1" width="8"/>
    <col min="9" max="9" customWidth="1" width="22"/>
  </cols>
  <sheetData>
    <row r="1">
      <c r="A1" t="str">
        <v>DANH SÁCH MÔN HỌC THEO KỲ - CHƯƠNG TRÌNH CỬ NHÂN KHỞI NGHIỆP &amp; PTKD (BBAE)</v>
      </c>
      <c r="F1" t="str">
        <v>KHUNG ĐÀO TẠO: Cử nhân cấp bằng (Full 4 năm)</v>
      </c>
    </row>
    <row r="2">
      <c r="A2" t="str">
        <v>STT</v>
      </c>
      <c r="B2" t="str">
        <v>Khóa / Lớp</v>
      </c>
      <c r="C2" t="str">
        <v>Năm học</v>
      </c>
      <c r="D2" t="str">
        <v>Kỳ học</v>
      </c>
      <c r="E2" t="str">
        <v>Mã môn</v>
      </c>
      <c r="F2" t="str">
        <v>Tên môn học tiếng Anh</v>
      </c>
      <c r="G2" t="str">
        <v>Số GV</v>
      </c>
      <c r="H2" t="str">
        <v>Số SV</v>
      </c>
      <c r="I2" t="str">
        <v>Trạng thái</v>
      </c>
    </row>
    <row r="3">
      <c r="A3">
        <v>1</v>
      </c>
      <c r="B3" t="str">
        <v>BBAE</v>
      </c>
      <c r="C3" t="str">
        <v>Năm 1</v>
      </c>
      <c r="D3" t="str">
        <v>SEM 1</v>
      </c>
      <c r="E3" t="str">
        <v>BBAE1109</v>
      </c>
      <c r="F3" t="str">
        <v>Biology with lab</v>
      </c>
      <c r="G3">
        <v>2</v>
      </c>
      <c r="H3">
        <v>45</v>
      </c>
      <c r="I3" t="str">
        <v>Kỳ học theo khóa</v>
      </c>
    </row>
    <row r="4">
      <c r="A4">
        <v>2</v>
      </c>
      <c r="B4" t="str">
        <v>BBAE</v>
      </c>
      <c r="C4" t="str">
        <v>Năm 1</v>
      </c>
      <c r="D4" t="str">
        <v>SEM 1</v>
      </c>
      <c r="E4" t="str">
        <v>BBAE1114</v>
      </c>
      <c r="F4" t="str">
        <v>Introduction to Dancesport</v>
      </c>
      <c r="G4">
        <v>2</v>
      </c>
      <c r="H4">
        <v>45</v>
      </c>
      <c r="I4" t="str">
        <v>Kỳ học theo khóa</v>
      </c>
    </row>
    <row r="5">
      <c r="A5">
        <v>3</v>
      </c>
      <c r="B5" t="str">
        <v>BBAE</v>
      </c>
      <c r="C5" t="str">
        <v>Năm 1</v>
      </c>
      <c r="D5" t="str">
        <v>SEM 1</v>
      </c>
      <c r="E5" t="str">
        <v>BBAE1125</v>
      </c>
      <c r="F5" t="str">
        <v>Business Communication</v>
      </c>
      <c r="G5">
        <v>2</v>
      </c>
      <c r="H5">
        <v>45</v>
      </c>
      <c r="I5" t="str">
        <v>Kỳ học theo khóa</v>
      </c>
    </row>
    <row r="6">
      <c r="A6">
        <v>4</v>
      </c>
      <c r="B6" t="str">
        <v>BBAE</v>
      </c>
      <c r="C6" t="str">
        <v>Năm 1</v>
      </c>
      <c r="D6" t="str">
        <v>SEM 1</v>
      </c>
      <c r="E6" t="str">
        <v>BBAE1111</v>
      </c>
      <c r="F6" t="str">
        <v>Tiếng Anh 1</v>
      </c>
      <c r="G6">
        <v>2</v>
      </c>
      <c r="H6">
        <v>45</v>
      </c>
      <c r="I6" t="str">
        <v>Kỳ học theo khóa</v>
      </c>
    </row>
    <row r="7">
      <c r="A7">
        <v>5</v>
      </c>
      <c r="B7" t="str">
        <v>BBAE</v>
      </c>
      <c r="C7" t="str">
        <v>Năm 1</v>
      </c>
      <c r="D7" t="str">
        <v>SEM 1</v>
      </c>
      <c r="E7" t="str">
        <v>BBAE1113</v>
      </c>
      <c r="F7" t="str">
        <v>Kỹ năng mềm trong kinh doanh</v>
      </c>
      <c r="G7">
        <v>2</v>
      </c>
      <c r="H7">
        <v>45</v>
      </c>
      <c r="I7" t="str">
        <v>Kỳ học theo khóa</v>
      </c>
    </row>
    <row r="8">
      <c r="A8">
        <v>6</v>
      </c>
      <c r="B8" t="str">
        <v>BBAE</v>
      </c>
      <c r="C8" t="str">
        <v>Năm 1</v>
      </c>
      <c r="D8" t="str">
        <v>SEM 1</v>
      </c>
      <c r="E8" t="str">
        <v>BBAE1106</v>
      </c>
      <c r="F8" t="str">
        <v>Cơ sở văn hóa VN</v>
      </c>
      <c r="G8">
        <v>2</v>
      </c>
      <c r="H8">
        <v>45</v>
      </c>
      <c r="I8" t="str">
        <v>Kỳ học theo khóa</v>
      </c>
    </row>
    <row r="9">
      <c r="A9">
        <v>7</v>
      </c>
      <c r="B9" t="str">
        <v>BBAE K67</v>
      </c>
      <c r="C9" t="str">
        <v>Năm 1</v>
      </c>
      <c r="D9" t="str">
        <v>SEM 2</v>
      </c>
      <c r="E9" t="str">
        <v>BBAE1107</v>
      </c>
      <c r="F9" t="str">
        <v>Introduction to Environmental Studies</v>
      </c>
      <c r="G9">
        <v>1</v>
      </c>
      <c r="H9">
        <v>101</v>
      </c>
      <c r="I9" t="str">
        <v>Kỳ hiện tại (Active)</v>
      </c>
    </row>
    <row r="10">
      <c r="A10">
        <v>8</v>
      </c>
      <c r="B10" t="str">
        <v>BBAE K67</v>
      </c>
      <c r="C10" t="str">
        <v>Năm 1</v>
      </c>
      <c r="D10" t="str">
        <v>SEM 2</v>
      </c>
      <c r="E10" t="str">
        <v>BBAE1108</v>
      </c>
      <c r="F10" t="str">
        <v>Introduction to Calculus</v>
      </c>
      <c r="G10">
        <v>1</v>
      </c>
      <c r="H10">
        <v>109</v>
      </c>
      <c r="I10" t="str">
        <v>Kỳ hiện tại (Active)</v>
      </c>
    </row>
    <row r="11">
      <c r="A11">
        <v>9</v>
      </c>
      <c r="B11" t="str">
        <v>BBAE K67</v>
      </c>
      <c r="C11" t="str">
        <v>Năm 1</v>
      </c>
      <c r="D11" t="str">
        <v>SEM 2</v>
      </c>
      <c r="E11" t="str">
        <v>BBAE1121</v>
      </c>
      <c r="F11" t="str">
        <v>Business Environment</v>
      </c>
      <c r="G11">
        <v>1</v>
      </c>
      <c r="H11">
        <v>102</v>
      </c>
      <c r="I11" t="str">
        <v>Kỳ hiện tại (Active)</v>
      </c>
    </row>
    <row r="12">
      <c r="A12">
        <v>10</v>
      </c>
      <c r="B12" t="str">
        <v>BBAE K67</v>
      </c>
      <c r="C12" t="str">
        <v>Năm 1</v>
      </c>
      <c r="D12" t="str">
        <v>SEM 2</v>
      </c>
      <c r="E12" t="str">
        <v>BBAE1112</v>
      </c>
      <c r="F12" t="str">
        <v>English 2</v>
      </c>
      <c r="G12">
        <v>2</v>
      </c>
      <c r="H12">
        <v>18</v>
      </c>
      <c r="I12" t="str">
        <v>Kỳ hiện tại (Active)</v>
      </c>
    </row>
    <row r="13">
      <c r="A13">
        <v>11</v>
      </c>
      <c r="B13" t="str">
        <v>BBAE K67</v>
      </c>
      <c r="C13" t="str">
        <v>Năm 1</v>
      </c>
      <c r="D13" t="str">
        <v>SEM 2</v>
      </c>
      <c r="E13" t="str">
        <v>LLNL1105</v>
      </c>
      <c r="F13" t="str">
        <v>Triết học Marx Lenin</v>
      </c>
      <c r="G13">
        <v>2</v>
      </c>
      <c r="H13">
        <v>101</v>
      </c>
      <c r="I13" t="str">
        <v>Kỳ hiện tại (Active)</v>
      </c>
    </row>
    <row r="14">
      <c r="A14">
        <v>12</v>
      </c>
      <c r="B14" t="str">
        <v>BBAE</v>
      </c>
      <c r="C14" t="str">
        <v>Năm 2</v>
      </c>
      <c r="D14" t="str">
        <v>SEM 1</v>
      </c>
      <c r="E14" t="str">
        <v>BBAE1118</v>
      </c>
      <c r="F14" t="str">
        <v>Business Decision Making 1</v>
      </c>
      <c r="G14">
        <v>2</v>
      </c>
      <c r="H14">
        <v>45</v>
      </c>
      <c r="I14" t="str">
        <v>Kỳ học theo khóa</v>
      </c>
    </row>
    <row r="15">
      <c r="A15">
        <v>13</v>
      </c>
      <c r="B15" t="str">
        <v>BBAE</v>
      </c>
      <c r="C15" t="str">
        <v>Năm 2</v>
      </c>
      <c r="D15" t="str">
        <v>SEM 1</v>
      </c>
      <c r="E15" t="str">
        <v>BBAE1116</v>
      </c>
      <c r="F15" t="str">
        <v>Microeconomics</v>
      </c>
      <c r="G15">
        <v>2</v>
      </c>
      <c r="H15">
        <v>45</v>
      </c>
      <c r="I15" t="str">
        <v>Kỳ học theo khóa</v>
      </c>
    </row>
    <row r="16">
      <c r="A16">
        <v>14</v>
      </c>
      <c r="B16" t="str">
        <v>BBAE</v>
      </c>
      <c r="C16" t="str">
        <v>Năm 2</v>
      </c>
      <c r="D16" t="str">
        <v>SEM 1</v>
      </c>
      <c r="E16" t="str">
        <v>BBAE1120</v>
      </c>
      <c r="F16" t="str">
        <v>Principles of Accounting</v>
      </c>
      <c r="G16">
        <v>2</v>
      </c>
      <c r="H16">
        <v>45</v>
      </c>
      <c r="I16" t="str">
        <v>Kỳ học theo khóa</v>
      </c>
    </row>
    <row r="17">
      <c r="A17">
        <v>15</v>
      </c>
      <c r="B17" t="str">
        <v>BBAE</v>
      </c>
      <c r="C17" t="str">
        <v>Năm 2</v>
      </c>
      <c r="D17" t="str">
        <v>SEM 1</v>
      </c>
      <c r="E17" t="str">
        <v>BBAE1124</v>
      </c>
      <c r="F17" t="str">
        <v>Personal &amp; Professional Development</v>
      </c>
      <c r="G17">
        <v>2</v>
      </c>
      <c r="H17">
        <v>45</v>
      </c>
      <c r="I17" t="str">
        <v>Kỳ học theo khóa</v>
      </c>
    </row>
    <row r="18">
      <c r="A18">
        <v>16</v>
      </c>
      <c r="B18" t="str">
        <v>BBAE</v>
      </c>
      <c r="C18" t="str">
        <v>Năm 2</v>
      </c>
      <c r="D18" t="str">
        <v>SEM 1</v>
      </c>
      <c r="E18" t="str">
        <v>BBAE1138</v>
      </c>
      <c r="F18" t="str">
        <v>Psychology</v>
      </c>
      <c r="G18">
        <v>2</v>
      </c>
      <c r="H18">
        <v>45</v>
      </c>
      <c r="I18" t="str">
        <v>Kỳ học theo khóa</v>
      </c>
    </row>
    <row r="19">
      <c r="A19">
        <v>17</v>
      </c>
      <c r="B19" t="str">
        <v>BBAE K66</v>
      </c>
      <c r="C19" t="str">
        <v>Năm 2</v>
      </c>
      <c r="D19" t="str">
        <v>SEM 2</v>
      </c>
      <c r="E19" t="str">
        <v>BBAE1126</v>
      </c>
      <c r="F19" t="str">
        <v>Managerial Accounting</v>
      </c>
      <c r="G19">
        <v>1</v>
      </c>
      <c r="H19">
        <v>85</v>
      </c>
      <c r="I19" t="str">
        <v>Kỳ hiện tại (Active)</v>
      </c>
    </row>
    <row r="20">
      <c r="A20">
        <v>18</v>
      </c>
      <c r="B20" t="str">
        <v>BBAE K66</v>
      </c>
      <c r="C20" t="str">
        <v>Năm 2</v>
      </c>
      <c r="D20" t="str">
        <v>SEM 2</v>
      </c>
      <c r="E20" t="str">
        <v>BBAE1117</v>
      </c>
      <c r="F20" t="str">
        <v>Macroeconomics</v>
      </c>
      <c r="G20">
        <v>2</v>
      </c>
      <c r="H20">
        <v>85</v>
      </c>
      <c r="I20" t="str">
        <v>Kỳ hiện tại (Active)</v>
      </c>
    </row>
    <row r="21">
      <c r="A21">
        <v>19</v>
      </c>
      <c r="B21" t="str">
        <v>BBAE K66</v>
      </c>
      <c r="C21" t="str">
        <v>Năm 2</v>
      </c>
      <c r="D21" t="str">
        <v>SEM 2</v>
      </c>
      <c r="E21" t="str">
        <v>BBAE1123</v>
      </c>
      <c r="F21" t="str">
        <v>Principles of Marketing</v>
      </c>
      <c r="G21">
        <v>1</v>
      </c>
      <c r="H21">
        <v>86</v>
      </c>
      <c r="I21" t="str">
        <v>Kỳ hiện tại (Active)</v>
      </c>
    </row>
    <row r="22">
      <c r="A22">
        <v>20</v>
      </c>
      <c r="B22" t="str">
        <v>BBAE K66</v>
      </c>
      <c r="C22" t="str">
        <v>Năm 2</v>
      </c>
      <c r="D22" t="str">
        <v>SEM 2</v>
      </c>
      <c r="E22" t="str">
        <v>BBAE1130</v>
      </c>
      <c r="F22" t="str">
        <v>Business Law</v>
      </c>
      <c r="G22">
        <v>1</v>
      </c>
      <c r="H22">
        <v>85</v>
      </c>
      <c r="I22" t="str">
        <v>Kỳ hiện tại (Active)</v>
      </c>
    </row>
    <row r="23">
      <c r="A23">
        <v>21</v>
      </c>
      <c r="B23" t="str">
        <v>BBAE K66</v>
      </c>
      <c r="C23" t="str">
        <v>Năm 2</v>
      </c>
      <c r="D23" t="str">
        <v>SEM 2</v>
      </c>
      <c r="E23" t="str">
        <v>BBAE1119</v>
      </c>
      <c r="F23" t="str">
        <v>Business Decision Making 2</v>
      </c>
      <c r="G23">
        <v>1</v>
      </c>
      <c r="H23">
        <v>87</v>
      </c>
      <c r="I23" t="str">
        <v>Kỳ hiện tại (Active)</v>
      </c>
    </row>
    <row r="24">
      <c r="A24">
        <v>22</v>
      </c>
      <c r="B24" t="str">
        <v>BBAE</v>
      </c>
      <c r="C24" t="str">
        <v>Năm 3</v>
      </c>
      <c r="D24" t="str">
        <v>SEM 1</v>
      </c>
      <c r="E24" t="str">
        <v>BBAE1133</v>
      </c>
      <c r="F24" t="str">
        <v>Operations Management</v>
      </c>
      <c r="G24">
        <v>2</v>
      </c>
      <c r="H24">
        <v>45</v>
      </c>
      <c r="I24" t="str">
        <v>Kỳ học theo khóa</v>
      </c>
    </row>
    <row r="25">
      <c r="A25">
        <v>23</v>
      </c>
      <c r="B25" t="str">
        <v>BBAE</v>
      </c>
      <c r="C25" t="str">
        <v>Năm 3</v>
      </c>
      <c r="D25" t="str">
        <v>SEM 1</v>
      </c>
      <c r="E25" t="str">
        <v>BBAE1132</v>
      </c>
      <c r="F25" t="str">
        <v>Organizational Behavior</v>
      </c>
      <c r="G25">
        <v>2</v>
      </c>
      <c r="H25">
        <v>45</v>
      </c>
      <c r="I25" t="str">
        <v>Kỳ học theo khóa</v>
      </c>
    </row>
    <row r="26">
      <c r="A26">
        <v>24</v>
      </c>
      <c r="B26" t="str">
        <v>BBAE</v>
      </c>
      <c r="C26" t="str">
        <v>Năm 3</v>
      </c>
      <c r="D26" t="str">
        <v>SEM 1</v>
      </c>
      <c r="E26" t="str">
        <v>BBAE1129</v>
      </c>
      <c r="F26" t="str">
        <v>Business Strategy</v>
      </c>
      <c r="G26">
        <v>2</v>
      </c>
      <c r="H26">
        <v>45</v>
      </c>
      <c r="I26" t="str">
        <v>Kỳ học theo khóa</v>
      </c>
    </row>
    <row r="27">
      <c r="A27">
        <v>25</v>
      </c>
      <c r="B27" t="str">
        <v>BBAE</v>
      </c>
      <c r="C27" t="str">
        <v>Năm 3</v>
      </c>
      <c r="D27" t="str">
        <v>SEM 1</v>
      </c>
      <c r="E27" t="str">
        <v>LLNL1106</v>
      </c>
      <c r="F27" t="str">
        <v>Kinh tế chính trị Marx-Lenin</v>
      </c>
      <c r="G27">
        <v>2</v>
      </c>
      <c r="H27">
        <v>45</v>
      </c>
      <c r="I27" t="str">
        <v>Kỳ học theo khóa</v>
      </c>
    </row>
    <row r="28">
      <c r="A28">
        <v>26</v>
      </c>
      <c r="B28" t="str">
        <v>BBAE</v>
      </c>
      <c r="C28" t="str">
        <v>Năm 3</v>
      </c>
      <c r="D28" t="str">
        <v>SEM 1</v>
      </c>
      <c r="E28" t="str">
        <v>LLNL1107</v>
      </c>
      <c r="F28" t="str">
        <v>Chủ nghĩa xã hội Khoa học</v>
      </c>
      <c r="G28">
        <v>2</v>
      </c>
      <c r="H28">
        <v>45</v>
      </c>
      <c r="I28" t="str">
        <v>Kỳ học theo khóa</v>
      </c>
    </row>
    <row r="29">
      <c r="A29">
        <v>27</v>
      </c>
      <c r="B29" t="str">
        <v>BBAE</v>
      </c>
      <c r="C29" t="str">
        <v>Năm 3</v>
      </c>
      <c r="D29" t="str">
        <v>SEM 1</v>
      </c>
      <c r="E29" t="str">
        <v>LLDL1102</v>
      </c>
      <c r="F29" t="str">
        <v>Lịch sử Đảng CSVN</v>
      </c>
      <c r="G29">
        <v>2</v>
      </c>
      <c r="H29">
        <v>45</v>
      </c>
      <c r="I29" t="str">
        <v>Kỳ học theo khóa</v>
      </c>
    </row>
    <row r="30">
      <c r="A30">
        <v>28</v>
      </c>
      <c r="B30" t="str">
        <v>BBAE</v>
      </c>
      <c r="C30" t="str">
        <v>Năm 3</v>
      </c>
      <c r="D30" t="str">
        <v>SEM 1</v>
      </c>
      <c r="E30" t="str">
        <v>BBAE1122</v>
      </c>
      <c r="F30" t="str">
        <v>Corporate Finance</v>
      </c>
      <c r="G30">
        <v>2</v>
      </c>
      <c r="H30">
        <v>45</v>
      </c>
      <c r="I30" t="str">
        <v>Kỳ học theo khóa</v>
      </c>
    </row>
    <row r="31">
      <c r="A31">
        <v>29</v>
      </c>
      <c r="B31" t="str">
        <v>BBAE</v>
      </c>
      <c r="C31" t="str">
        <v>Năm 3</v>
      </c>
      <c r="D31" t="str">
        <v>SEM 2</v>
      </c>
      <c r="E31" t="str">
        <v>BBAE1143</v>
      </c>
      <c r="F31" t="str">
        <v>Creativity &amp; Innovation Mgt</v>
      </c>
      <c r="G31">
        <v>2</v>
      </c>
      <c r="H31">
        <v>45</v>
      </c>
      <c r="I31" t="str">
        <v>Kỳ học theo khóa</v>
      </c>
    </row>
    <row r="32">
      <c r="A32">
        <v>30</v>
      </c>
      <c r="B32" t="str">
        <v>BBAE</v>
      </c>
      <c r="C32" t="str">
        <v>Năm 3</v>
      </c>
      <c r="D32" t="str">
        <v>SEM 2</v>
      </c>
      <c r="E32" t="str">
        <v>BBAE1144</v>
      </c>
      <c r="F32" t="str">
        <v>Entrepreneurial Design Thinking</v>
      </c>
      <c r="G32">
        <v>2</v>
      </c>
      <c r="H32">
        <v>45</v>
      </c>
      <c r="I32" t="str">
        <v>Kỳ học theo khóa</v>
      </c>
    </row>
    <row r="33">
      <c r="A33">
        <v>31</v>
      </c>
      <c r="B33" t="str">
        <v>BBAE</v>
      </c>
      <c r="C33" t="str">
        <v>Năm 3</v>
      </c>
      <c r="D33" t="str">
        <v>SEM 2</v>
      </c>
      <c r="E33" t="str">
        <v>BBAE1142</v>
      </c>
      <c r="F33" t="str">
        <v>Entrepreneurial Skills</v>
      </c>
      <c r="G33">
        <v>2</v>
      </c>
      <c r="H33">
        <v>45</v>
      </c>
      <c r="I33" t="str">
        <v>Kỳ học theo khóa</v>
      </c>
    </row>
    <row r="34">
      <c r="A34">
        <v>32</v>
      </c>
      <c r="B34" t="str">
        <v>BBAE</v>
      </c>
      <c r="C34" t="str">
        <v>Năm 3</v>
      </c>
      <c r="D34" t="str">
        <v>SEM 2</v>
      </c>
      <c r="E34" t="str">
        <v>BBAE1134</v>
      </c>
      <c r="F34" t="str">
        <v>Intercultural &amp; Communication Mgt</v>
      </c>
      <c r="G34">
        <v>2</v>
      </c>
      <c r="H34">
        <v>45</v>
      </c>
      <c r="I34" t="str">
        <v>Kỳ học theo khóa</v>
      </c>
    </row>
    <row r="35">
      <c r="A35">
        <v>33</v>
      </c>
      <c r="B35" t="str">
        <v>BBAE</v>
      </c>
      <c r="C35" t="str">
        <v>Năm 3</v>
      </c>
      <c r="D35" t="str">
        <v>SEM 2</v>
      </c>
      <c r="E35" t="str">
        <v>BBAE1131</v>
      </c>
      <c r="F35" t="str">
        <v>Management of Info System</v>
      </c>
      <c r="G35">
        <v>2</v>
      </c>
      <c r="H35">
        <v>45</v>
      </c>
      <c r="I35" t="str">
        <v>Kỳ học theo khóa</v>
      </c>
    </row>
    <row r="36">
      <c r="A36">
        <v>34</v>
      </c>
      <c r="B36" t="str">
        <v>BBAE</v>
      </c>
      <c r="C36" t="str">
        <v>Năm 3</v>
      </c>
      <c r="D36" t="str">
        <v>SEM 2</v>
      </c>
      <c r="E36" t="str">
        <v>LLTT1101</v>
      </c>
      <c r="F36" t="str">
        <v>Tư tưởng HCM</v>
      </c>
      <c r="G36">
        <v>2</v>
      </c>
      <c r="H36">
        <v>45</v>
      </c>
      <c r="I36" t="str">
        <v>Kỳ học theo khóa</v>
      </c>
    </row>
    <row r="37">
      <c r="A37">
        <v>35</v>
      </c>
      <c r="B37" t="str">
        <v>BBAE</v>
      </c>
      <c r="C37" t="str">
        <v>Năm 4</v>
      </c>
      <c r="D37" t="str">
        <v>SEM 1</v>
      </c>
      <c r="E37" t="str">
        <v>BBAE1137</v>
      </c>
      <c r="F37" t="str">
        <v>Digital Marketing</v>
      </c>
      <c r="G37">
        <v>2</v>
      </c>
      <c r="H37">
        <v>45</v>
      </c>
      <c r="I37" t="str">
        <v>Kỳ học theo khóa</v>
      </c>
    </row>
    <row r="38">
      <c r="A38">
        <v>36</v>
      </c>
      <c r="B38" t="str">
        <v>BBAE</v>
      </c>
      <c r="C38" t="str">
        <v>Năm 4</v>
      </c>
      <c r="D38" t="str">
        <v>SEM 1</v>
      </c>
      <c r="E38" t="str">
        <v>BBAE1136</v>
      </c>
      <c r="F38" t="str">
        <v>Project Mgt</v>
      </c>
      <c r="G38">
        <v>2</v>
      </c>
      <c r="H38">
        <v>45</v>
      </c>
      <c r="I38" t="str">
        <v>Kỳ học theo khóa</v>
      </c>
    </row>
    <row r="39">
      <c r="A39">
        <v>37</v>
      </c>
      <c r="B39" t="str">
        <v>BBAE</v>
      </c>
      <c r="C39" t="str">
        <v>Năm 4</v>
      </c>
      <c r="D39" t="str">
        <v>SEM 1</v>
      </c>
      <c r="E39" t="str">
        <v>BBAE1128</v>
      </c>
      <c r="F39" t="str">
        <v>Market Research</v>
      </c>
      <c r="G39">
        <v>2</v>
      </c>
      <c r="H39">
        <v>45</v>
      </c>
      <c r="I39" t="str">
        <v>Kỳ học theo khóa</v>
      </c>
    </row>
    <row r="40">
      <c r="A40">
        <v>38</v>
      </c>
      <c r="B40" t="str">
        <v>BBAE</v>
      </c>
      <c r="C40" t="str">
        <v>Năm 4</v>
      </c>
      <c r="D40" t="str">
        <v>SEM 1</v>
      </c>
      <c r="E40" t="str">
        <v>BBAE1127</v>
      </c>
      <c r="F40" t="str">
        <v>Human Resource Management</v>
      </c>
      <c r="G40">
        <v>2</v>
      </c>
      <c r="H40">
        <v>45</v>
      </c>
      <c r="I40" t="str">
        <v>Kỳ học theo khóa</v>
      </c>
    </row>
    <row r="41">
      <c r="A41">
        <v>39</v>
      </c>
      <c r="B41" t="str">
        <v>BBAE</v>
      </c>
      <c r="C41" t="str">
        <v>Năm 4</v>
      </c>
      <c r="D41" t="str">
        <v>SEM 1</v>
      </c>
      <c r="E41" t="str">
        <v>BBAE1145</v>
      </c>
      <c r="F41" t="str">
        <v>New Venture Creation</v>
      </c>
      <c r="G41">
        <v>2</v>
      </c>
      <c r="H41">
        <v>45</v>
      </c>
      <c r="I41" t="str">
        <v>Kỳ học theo khóa</v>
      </c>
    </row>
    <row r="42">
      <c r="A42">
        <v>40</v>
      </c>
      <c r="B42" t="str">
        <v>BBAE</v>
      </c>
      <c r="C42" t="str">
        <v>Năm 4</v>
      </c>
      <c r="D42" t="str">
        <v>SEM 2</v>
      </c>
      <c r="E42" t="str">
        <v>BBAE1146</v>
      </c>
      <c r="F42" t="str">
        <v>Internship</v>
      </c>
      <c r="G42">
        <v>2</v>
      </c>
      <c r="H42">
        <v>45</v>
      </c>
      <c r="I42" t="str">
        <v>Kỳ học theo khóa</v>
      </c>
    </row>
  </sheetData>
  <ignoredErrors>
    <ignoredError numberStoredAsText="1" sqref="A1:I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OPERATION (50%) &amp; HĐ HTHT (20%)</vt:lpstr>
      <vt:lpstr>KQ SV &amp; KỶ LUẬT SV (20%)</vt:lpstr>
      <vt:lpstr>list các môn học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