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ON (50%) &amp; HĐ HTHT (20%)" sheetId="1" r:id="rId1"/>
    <sheet name="KQ SV &amp; KỶ LUẬT SV (20%)" sheetId="2" r:id="rId2"/>
    <sheet name="list các môn họ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cols>
    <col min="1" max="1" width="5.83203125" customWidth="1"/>
    <col min="2" max="2" width="20.83203125" customWidth="1"/>
    <col min="3" max="3" width="20.83203125" customWidth="1"/>
    <col min="4" max="4" width="30.83203125" customWidth="1"/>
    <col min="5" max="5" width="45.83203125" customWidth="1"/>
    <col min="6" max="6" width="10.83203125" customWidth="1"/>
    <col min="7" max="7" width="12.83203125" customWidth="1"/>
    <col min="8" max="8" width="12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25.83203125" customWidth="1"/>
  </cols>
  <sheetData>
    <row r="1">
      <c r="A1" t="str">
        <v>BẢNG ĐÁNH GIÁ KẾT QUẢ THỰC HIỆN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CÔNG VIỆC CÁ NHÂN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Kỳ đánh giá: Kỳ II</v>
      </c>
      <c r="F3" t="str">
        <v>Năm: 2025 - 2026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Người được đánh giá</v>
      </c>
      <c r="B4" t="str">
        <v/>
      </c>
      <c r="C4" t="str">
        <v/>
      </c>
      <c r="D4" t="str">
        <v/>
      </c>
      <c r="E4" t="str">
        <v>Họ và tên: Vũ Minh Nhật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Chức danh: CNCT Top-up UWE</v>
      </c>
      <c r="F5" t="str">
        <v>Mã chức danh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Người đánh giá</v>
      </c>
      <c r="B6" t="str">
        <v/>
      </c>
      <c r="C6" t="str">
        <v/>
      </c>
      <c r="D6" t="str">
        <v/>
      </c>
      <c r="E6" t="str">
        <v>Họ và tên: Hồ Hoàng Lan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Chức danh: Trưởng Ban Đào tạo đại học</v>
      </c>
      <c r="F7" t="str">
        <v>Mã chức danh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 xml:space="preserve">
      <c r="A9" t="str">
        <v>STT</v>
      </c>
      <c r="B9" t="str">
        <v>Mục tiêu hành động của vị trí công việc</v>
      </c>
      <c r="C9" t="str">
        <v/>
      </c>
      <c r="D9" t="str">
        <v/>
      </c>
      <c r="E9" t="str">
        <v>Tiêu chí</v>
      </c>
      <c r="F9" t="str">
        <v>Đơn vị đo</v>
      </c>
      <c r="G9" t="str">
        <v>Mục tiêu đạt KPI</v>
      </c>
      <c r="H9" t="str">
        <v>Số lượng được giao</v>
      </c>
      <c r="I9" t="str" xml:space="preserve">
        <v xml:space="preserve">Số lượng hoàn thành
(tự đánh giá)</v>
      </c>
      <c r="J9" t="str" xml:space="preserve">
        <v xml:space="preserve">Tỉ lệ hoàn thành
(tự đánh giá)</v>
      </c>
      <c r="K9" t="str" xml:space="preserve">
        <v xml:space="preserve">Đánh giá của
line manager
(thang điểm 1-100)</v>
      </c>
      <c r="L9" t="str" xml:space="preserve">
        <v xml:space="preserve">Đánh giá của
trưởng ban
(thang điểm 1-100)</v>
      </c>
      <c r="M9" t="str" xml:space="preserve">
        <v xml:space="preserve">Đánh giá của trưởng ban
(Note 100-200 words)</v>
      </c>
    </row>
    <row r="10">
      <c r="A10" t="str">
        <v/>
      </c>
      <c r="B10" t="str">
        <v>Nội dung đánh giá</v>
      </c>
      <c r="C10" t="str">
        <v>Đầu mục công việc</v>
      </c>
      <c r="D10" t="str">
        <v>Nhóm KPI theo mô tả CV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>
        <v>1</v>
      </c>
      <c r="B11" t="str">
        <v>OPERATION (50%)</v>
      </c>
      <c r="C11" t="str">
        <v>Quản lý nội dung giảng dạy</v>
      </c>
      <c r="D11" t="str">
        <v>Làm việc với nhóm GV từng môn về nội dung giảng dạy (SoW, Assessment Plan, Assignment Brief)</v>
      </c>
      <c r="E11" t="str">
        <v>Tỷ lệ các môn học có đầy đủ các tài liệu đúng tiến độ</v>
      </c>
      <c r="F11" t="str">
        <v>%</v>
      </c>
      <c r="G11">
        <v>1</v>
      </c>
      <c r="H11">
        <v>12</v>
      </c>
      <c r="I11">
        <v>12</v>
      </c>
      <c r="J11">
        <f>IF(H11=0,"N/A",I11/H11)</f>
      </c>
      <c r="K11" t="str">
        <v/>
      </c>
      <c r="L11" t="str">
        <v/>
      </c>
      <c r="M11" t="str">
        <v/>
      </c>
    </row>
    <row r="12" xml:space="preserve">
      <c r="A12">
        <v>2</v>
      </c>
      <c r="B12" t="str">
        <v/>
      </c>
      <c r="C12" t="str">
        <v>Quản lý tài liệu liên quan GV</v>
      </c>
      <c r="D12" t="str" xml:space="preserve">
        <v xml:space="preserve">Cung cấp thông tin phục vụ hoàn thiện các thủ tục ký hợp đồng, thanh lý hợp đồng giảng, thủ tục thanh toán tiền giảng/trợ giảng
- HĐ GV
- Thanh toán giảng dạy
- Thanh toán chấm bài</v>
      </c>
      <c r="E12" t="str">
        <v>Tỷ lệ giảng viên được cập nhật thông tin đúng tiến độ và kế hoạch vận hành</v>
      </c>
      <c r="F12" t="str">
        <v>%</v>
      </c>
      <c r="G12">
        <v>1</v>
      </c>
      <c r="H12">
        <v>23</v>
      </c>
      <c r="I12">
        <v>23</v>
      </c>
      <c r="J12">
        <f>IF(H12=0,"N/A",I12/H12)</f>
      </c>
      <c r="K12" t="str">
        <v/>
      </c>
      <c r="L12" t="str">
        <v/>
      </c>
      <c r="M12" t="str">
        <v/>
      </c>
    </row>
    <row r="13">
      <c r="A13">
        <v>3</v>
      </c>
      <c r="B13" t="str">
        <v/>
      </c>
      <c r="C13" t="str">
        <v>Vận hành Lớp học</v>
      </c>
      <c r="D13" t="str">
        <v>Tổ chức lớp học (Làm &amp; TB TKB cho GV &amp; SV, tạo lớp Moodle, tạo account cho GV và SV, enroll GV và SV)</v>
      </c>
      <c r="E13" t="str">
        <v>Tỷ lệ các lớp được set up theo kế hoạch</v>
      </c>
      <c r="F13" t="str">
        <v>%</v>
      </c>
      <c r="G13">
        <v>1</v>
      </c>
      <c r="H13">
        <v>3</v>
      </c>
      <c r="I13">
        <v>3</v>
      </c>
      <c r="J13">
        <f>IF(H13=0,"N/A",I13/H13)</f>
      </c>
      <c r="K13" t="str">
        <v/>
      </c>
      <c r="L13" t="str">
        <v/>
      </c>
      <c r="M13" t="str">
        <v/>
      </c>
    </row>
    <row r="14">
      <c r="A14">
        <v>4</v>
      </c>
      <c r="B14" t="str">
        <v/>
      </c>
      <c r="C14" t="str">
        <v>Quản lý điểm</v>
      </c>
      <c r="D14" t="str">
        <v>Quản lý điểm và quá trình đánh giá SV (Theo dõi và đôn đốc tiến độ nhập điểm đúng hạn, rà soát bảng điểm trên hệ thống)</v>
      </c>
      <c r="E14" t="str">
        <v>Tỷ lệ các môn học hoàn thành điểm theo đúng kế hoạch</v>
      </c>
      <c r="F14" t="str">
        <v>%</v>
      </c>
      <c r="G14">
        <v>1</v>
      </c>
      <c r="H14">
        <v>12</v>
      </c>
      <c r="I14">
        <v>12</v>
      </c>
      <c r="J14">
        <f>IF(H14=0,"N/A",I14/H14)</f>
      </c>
      <c r="K14" t="str">
        <v/>
      </c>
      <c r="L14" t="str">
        <v/>
      </c>
      <c r="M14" t="str">
        <v/>
      </c>
    </row>
    <row r="15">
      <c r="A15">
        <v>5</v>
      </c>
      <c r="B15" t="str">
        <v>OPERATION (50%) &amp; HĐ hỗ trợ HT (20%)</v>
      </c>
      <c r="C15" t="str">
        <v>Hoạt động ngoại khóa - Vận hành</v>
      </c>
      <c r="D15" t="str">
        <v>Tổ chức hoạt động Tọa đàm, hội thảo chuyên đề, guest speaker, field trip (khâu chuẩn bị thủ tục, setup)</v>
      </c>
      <c r="E15" t="str">
        <v>Số lượng các hoạt động được triển khai thành công đúng tiến độ</v>
      </c>
      <c r="F15" t="str">
        <v>Hoạt động</v>
      </c>
      <c r="G15">
        <v>1</v>
      </c>
      <c r="H15">
        <v>4</v>
      </c>
      <c r="I15">
        <v>4</v>
      </c>
      <c r="J15">
        <f>IF(H15=0,"N/A",I15/H15)</f>
      </c>
      <c r="K15" t="str">
        <v/>
      </c>
      <c r="L15" t="str">
        <v/>
      </c>
      <c r="M15" t="str">
        <v/>
      </c>
    </row>
    <row r="16">
      <c r="A16">
        <v>6</v>
      </c>
      <c r="B16" t="str">
        <v>OPERATION (50%)</v>
      </c>
      <c r="C16" t="str">
        <v>Rà soát kết quả học tập</v>
      </c>
      <c r="D16" t="str">
        <v>Rà soát kết quả học tập, hồ sơ hoàn thành chương trình</v>
      </c>
      <c r="E16" t="str">
        <v>Tỷ lệ các môn học có file kết quả rà soát theo yêu cầu</v>
      </c>
      <c r="F16" t="str">
        <v>%</v>
      </c>
      <c r="G16">
        <v>1</v>
      </c>
      <c r="H16">
        <v>12</v>
      </c>
      <c r="I16">
        <v>12</v>
      </c>
      <c r="J16">
        <f>IF(H16=0,"N/A",I16/H16)</f>
      </c>
      <c r="K16" t="str">
        <v/>
      </c>
      <c r="L16" t="str">
        <v/>
      </c>
      <c r="M16" t="str">
        <v/>
      </c>
    </row>
    <row r="17">
      <c r="A17">
        <v>7</v>
      </c>
      <c r="B17" t="str">
        <v/>
      </c>
      <c r="C17" t="str">
        <v>Turnitin</v>
      </c>
      <c r="D17" t="str">
        <v>Giám sát liêm chính học thuật</v>
      </c>
      <c r="E17" t="str">
        <v>Tỷ lệ các môn học có báo cáo kết quả rà soát Turnitin theo yêu cầu</v>
      </c>
      <c r="F17" t="str">
        <v>%</v>
      </c>
      <c r="G17">
        <v>1</v>
      </c>
      <c r="H17">
        <v>12</v>
      </c>
      <c r="I17">
        <v>12</v>
      </c>
      <c r="J17">
        <f>IF(H17=0,"N/A",I17/H17)</f>
      </c>
      <c r="K17" t="str">
        <v/>
      </c>
      <c r="L17" t="str">
        <v/>
      </c>
      <c r="M17" t="str">
        <v/>
      </c>
    </row>
    <row r="18">
      <c r="A18">
        <v>8</v>
      </c>
      <c r="B18" t="str">
        <v/>
      </c>
      <c r="C18" t="str">
        <v>Phản hồi GV &amp; SV</v>
      </c>
      <c r="D18" t="str">
        <v>Xử lý các phản hồi của SV &amp; GV</v>
      </c>
      <c r="E18" t="str">
        <v>Số lượng kiến nghị của sinh viên được xử lý kịp thời (SV KHÔNG phải phản hồi lên cấp cao hơn)</v>
      </c>
      <c r="F18" t="str">
        <v>%</v>
      </c>
      <c r="G18">
        <v>1</v>
      </c>
      <c r="H18">
        <v>30</v>
      </c>
      <c r="I18">
        <v>30</v>
      </c>
      <c r="J18">
        <f>IF(H18=0,"N/A",I18/H18)</f>
      </c>
      <c r="K18" t="str">
        <v/>
      </c>
      <c r="L18" t="str">
        <v/>
      </c>
      <c r="M18" t="str">
        <v/>
      </c>
    </row>
    <row r="19">
      <c r="A19">
        <v>9</v>
      </c>
      <c r="B19" t="str">
        <v/>
      </c>
      <c r="C19" t="str">
        <v>Module report &amp; Feedback</v>
      </c>
      <c r="D19" t="str">
        <v>Hoàn thành module report và gửi feedback của SV cho GV</v>
      </c>
      <c r="E19" t="str">
        <v>Tỉ lệ số môn học đã làm feedback và gửi report xử lý số liệu cho GV</v>
      </c>
      <c r="F19" t="str">
        <v>%</v>
      </c>
      <c r="G19">
        <v>1</v>
      </c>
      <c r="H19">
        <v>12</v>
      </c>
      <c r="I19">
        <v>12</v>
      </c>
      <c r="J19">
        <f>IF(H19=0,"N/A",I19/H19)</f>
      </c>
      <c r="K19" t="str">
        <v/>
      </c>
      <c r="L19" t="str">
        <v/>
      </c>
      <c r="M19" t="str">
        <v/>
      </c>
    </row>
    <row r="20">
      <c r="A20">
        <v>10</v>
      </c>
      <c r="B20" t="str">
        <v/>
      </c>
      <c r="C20" t="str">
        <v>Hồ sơ SV</v>
      </c>
      <c r="D20" t="str">
        <v>Quản lý tiến trình học tập của sinh viên (giấy xác nhận, lớp học lại...)</v>
      </c>
      <c r="E20" t="str">
        <v>Tỷ lệ hồ sơ sinh viên được cập nhật &amp; giải quyết, đồng bộ thông tin học tập chính xác theo các mốc tiến độ</v>
      </c>
      <c r="F20" t="str">
        <v>%</v>
      </c>
      <c r="G20">
        <v>1</v>
      </c>
      <c r="H20">
        <v>15</v>
      </c>
      <c r="I20">
        <v>15</v>
      </c>
      <c r="J20">
        <f>IF(H20=0,"N/A",I20/H20)</f>
      </c>
      <c r="K20" t="str">
        <v/>
      </c>
      <c r="L20" t="str">
        <v/>
      </c>
      <c r="M20" t="str">
        <v/>
      </c>
    </row>
    <row r="21">
      <c r="A21">
        <v>11</v>
      </c>
      <c r="B21" t="str">
        <v>HĐ khác (10%)</v>
      </c>
      <c r="C21" t="str">
        <v>Tuyển sinh</v>
      </c>
      <c r="D21" t="str">
        <v>Tham gia công tác tuyển sinh</v>
      </c>
      <c r="E21" t="str">
        <v>Số lượng hoạt động tuyển sinh đã tham gia</v>
      </c>
      <c r="F21" t="str">
        <v>%</v>
      </c>
      <c r="G21">
        <v>1</v>
      </c>
      <c r="H21">
        <v>11</v>
      </c>
      <c r="I21">
        <v>11</v>
      </c>
      <c r="J21">
        <f>IF(H21=0,"N/A",I21/H21)</f>
      </c>
      <c r="K21" t="str">
        <v/>
      </c>
      <c r="L21" t="str">
        <v/>
      </c>
      <c r="M21" t="str">
        <v/>
      </c>
    </row>
    <row r="22">
      <c r="A22">
        <v>12</v>
      </c>
      <c r="B22" t="str">
        <v/>
      </c>
      <c r="C22" t="str">
        <v>Hỗ trợ SV du học &amp; exchange</v>
      </c>
      <c r="D22" t="str">
        <v>Quản lý &amp; hỗ trợ SV trao đổi/ du học</v>
      </c>
      <c r="E22" t="str">
        <v>Tỷ lệ sinh viên có nhu cầu chuyển tiếp/trao đổi được hỗ trợ hoàn thiện hồ sơ đi nước ngoài</v>
      </c>
      <c r="F22" t="str">
        <v>%</v>
      </c>
      <c r="G22">
        <v>1</v>
      </c>
      <c r="H22">
        <v>17</v>
      </c>
      <c r="I22">
        <v>17</v>
      </c>
      <c r="J22">
        <f>IF(H22=0,"N/A",I22/H22)</f>
      </c>
      <c r="K22" t="str">
        <v/>
      </c>
      <c r="L22" t="str">
        <v/>
      </c>
      <c r="M22" t="str">
        <v/>
      </c>
    </row>
    <row r="23">
      <c r="A23">
        <v>13</v>
      </c>
      <c r="B23" t="str">
        <v/>
      </c>
      <c r="C23" t="str">
        <v>Hoạt động khác</v>
      </c>
      <c r="D23" t="str">
        <v>Các hoạt động khác do Viện tổ chức</v>
      </c>
      <c r="E23" t="str">
        <v>Số lượng hoạt động đã tham gia đóng góp</v>
      </c>
      <c r="F23" t="str">
        <v>Hoạt động</v>
      </c>
      <c r="G23">
        <v>1</v>
      </c>
      <c r="H23">
        <v>2</v>
      </c>
      <c r="I23">
        <v>2</v>
      </c>
      <c r="J23">
        <f>IF(H23=0,"N/A",I23/H23)</f>
      </c>
      <c r="K23" t="str">
        <v/>
      </c>
      <c r="L23" t="str">
        <v/>
      </c>
      <c r="M23" t="str">
        <v/>
      </c>
    </row>
    <row r="25">
      <c r="A25" t="str">
        <v/>
      </c>
      <c r="B25" t="str">
        <v/>
      </c>
      <c r="C25" t="str">
        <v/>
      </c>
      <c r="D25" t="str">
        <v>Người Duyệt</v>
      </c>
      <c r="E25" t="str">
        <v>Người đánh giá</v>
      </c>
      <c r="F25" t="str">
        <v/>
      </c>
      <c r="G25" t="str">
        <v/>
      </c>
      <c r="H25" t="str">
        <v/>
      </c>
      <c r="I25" t="str">
        <v>Người được đánh giá</v>
      </c>
      <c r="J25" t="str">
        <v/>
      </c>
      <c r="K25" t="str">
        <v/>
      </c>
      <c r="L25" t="str">
        <v/>
      </c>
      <c r="M25" t="str">
        <v/>
      </c>
    </row>
    <row r="30">
      <c r="A30" t="str">
        <v/>
      </c>
      <c r="B30" t="str">
        <v/>
      </c>
      <c r="C30" t="str">
        <v/>
      </c>
      <c r="D30" t="str">
        <v>Trưởng Ban</v>
      </c>
      <c r="E30" t="str">
        <v>Cán bộ quản lý trực tiếp</v>
      </c>
      <c r="F30" t="str">
        <v/>
      </c>
      <c r="G30" t="str">
        <v/>
      </c>
      <c r="H30" t="str">
        <v/>
      </c>
      <c r="I30" t="str">
        <v>Vũ Minh Nhật</v>
      </c>
      <c r="J30" t="str">
        <v/>
      </c>
      <c r="K30" t="str">
        <v/>
      </c>
      <c r="L30" t="str">
        <v/>
      </c>
      <c r="M30" t="str">
        <v/>
      </c>
    </row>
  </sheetData>
  <ignoredErrors>
    <ignoredError numberStoredAsText="1" sqref="A1:M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15.83203125" customWidth="1"/>
    <col min="2" max="2" width="10.83203125" customWidth="1"/>
    <col min="3" max="3" width="12.83203125" customWidth="1"/>
    <col min="4" max="4" width="35.83203125" customWidth="1"/>
    <col min="5" max="5" width="10.83203125" customWidth="1"/>
    <col min="6" max="6" width="12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8.83203125" customWidth="1"/>
    <col min="16" max="16" width="14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>MỤC TIÊU ĐẦU KỲ</v>
      </c>
      <c r="H1" t="str">
        <v/>
      </c>
      <c r="I1" t="str">
        <v/>
      </c>
      <c r="J1" t="str">
        <v>KẾT QUẢ CUỐI KỲ</v>
      </c>
      <c r="K1" t="str">
        <v/>
      </c>
      <c r="L1" t="str">
        <v/>
      </c>
      <c r="M1" t="str">
        <v/>
      </c>
      <c r="N1" t="str">
        <v>MỨC ĐỘ HOÀN THÀNH</v>
      </c>
      <c r="O1" t="str">
        <v/>
      </c>
      <c r="P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Kỷ luật</v>
      </c>
      <c r="H2" t="str">
        <v>Học tập</v>
      </c>
      <c r="I2" t="str">
        <v/>
      </c>
      <c r="J2" t="str">
        <v>Kỷ luật</v>
      </c>
      <c r="K2" t="str">
        <v>Học tập</v>
      </c>
      <c r="L2" t="str">
        <v/>
      </c>
      <c r="M2" t="str">
        <v/>
      </c>
      <c r="N2" t="str">
        <v>Kỷ luật</v>
      </c>
      <c r="O2" t="str">
        <v>Học tập</v>
      </c>
      <c r="P2" t="str">
        <v/>
      </c>
    </row>
    <row r="3" xml:space="preserve">
      <c r="A3" t="str">
        <v>Chương trình</v>
      </c>
      <c r="B3" t="str">
        <v>Kỳ học</v>
      </c>
      <c r="C3" t="str">
        <v>Khóa</v>
      </c>
      <c r="D3" t="str">
        <v>Môn</v>
      </c>
      <c r="E3" t="str">
        <v>Số lượng GV</v>
      </c>
      <c r="F3" t="str">
        <v>Số lượng sinh viên</v>
      </c>
      <c r="G3" t="str" xml:space="preserve">
        <v xml:space="preserve">Tỉ lệ đi học
đầy đủ</v>
      </c>
      <c r="H3" t="str" xml:space="preserve">
        <v xml:space="preserve">Mục tiêu
pass 1st</v>
      </c>
      <c r="I3" t="str" xml:space="preserve">
        <v xml:space="preserve">Mục tiêu nộp bài/
thi lần đầu
đúng hạn</v>
      </c>
      <c r="J3" t="str" xml:space="preserve">
        <v xml:space="preserve">Tỉ lệ đi học
đầy đủ</v>
      </c>
      <c r="K3" t="str">
        <v>Tỉ lệ pass 1st</v>
      </c>
      <c r="L3" t="str" xml:space="preserve">
        <v xml:space="preserve">Tỉ lệ pass
sau Resit</v>
      </c>
      <c r="M3" t="str" xml:space="preserve">
        <v xml:space="preserve">Tỷ lệ nộp bài/
thi lần đầu
đúng hạn</v>
      </c>
      <c r="N3" t="str" xml:space="preserve">
        <v xml:space="preserve">Tỉ lệ đi học
đầy đủ</v>
      </c>
      <c r="O3" t="str" xml:space="preserve">
        <v xml:space="preserve">Tỉ lệ pass
(Điểm hiệu suất
học tập sau khi
đã tính bù điểm Resit)</v>
      </c>
      <c r="P3" t="str" xml:space="preserve">
        <v xml:space="preserve">Tỷ lệ nộp bài/
thi lần đầu
đúng hạn</v>
      </c>
    </row>
    <row r="4">
      <c r="A4" t="str">
        <v>Top-up UWE</v>
      </c>
      <c r="B4" t="str">
        <v>SEM 2</v>
      </c>
      <c r="C4" t="str">
        <v>I18 MT - IBM</v>
      </c>
      <c r="D4" t="str">
        <v>Multinationals in the Domestic and Global Context (MDGC)</v>
      </c>
      <c r="E4">
        <v>2</v>
      </c>
      <c r="F4">
        <v>34</v>
      </c>
      <c r="G4">
        <v>0.95</v>
      </c>
      <c r="H4">
        <v>1</v>
      </c>
      <c r="I4">
        <v>0.95</v>
      </c>
      <c r="J4">
        <v>1</v>
      </c>
      <c r="K4">
        <v>1</v>
      </c>
      <c r="L4" t="str">
        <v/>
      </c>
      <c r="M4">
        <v>1</v>
      </c>
      <c r="N4">
        <f>IF(G4=0,"N/A",J4/G4)</f>
      </c>
      <c r="O4">
        <f>IF(H4=0,"N/A",IF((K4/H4)&gt;=1,K4/H4,MIN(1,(K4/H4)+((L4/H4)*1))))</f>
      </c>
      <c r="P4">
        <f>IF(I4=0,"N/A",M4/I4)</f>
      </c>
    </row>
    <row r="5">
      <c r="A5" t="str">
        <v>Top-up UWE</v>
      </c>
      <c r="B5" t="str">
        <v>SEM 2</v>
      </c>
      <c r="C5" t="str">
        <v>I18 MT - IBM</v>
      </c>
      <c r="D5" t="str">
        <v>Integrated Business Management Simulation (IBMS)</v>
      </c>
      <c r="E5">
        <v>2</v>
      </c>
      <c r="F5">
        <v>34</v>
      </c>
      <c r="G5">
        <v>0.95</v>
      </c>
      <c r="H5">
        <v>1</v>
      </c>
      <c r="I5">
        <v>0.95</v>
      </c>
      <c r="J5">
        <v>1</v>
      </c>
      <c r="K5">
        <v>1</v>
      </c>
      <c r="L5" t="str">
        <v/>
      </c>
      <c r="M5">
        <v>1</v>
      </c>
      <c r="N5">
        <f>IF(G5=0,"N/A",J5/G5)</f>
      </c>
      <c r="O5">
        <f>IF(H5=0,"N/A",IF((K5/H5)&gt;=1,K5/H5,MIN(1,(K5/H5)+((L5/H5)*1))))</f>
      </c>
      <c r="P5">
        <f>IF(I5=0,"N/A",M5/I5)</f>
      </c>
    </row>
    <row r="6">
      <c r="A6" t="str">
        <v>Top-up UWE</v>
      </c>
      <c r="B6" t="str">
        <v>SEM 2</v>
      </c>
      <c r="C6" t="str">
        <v>I18 MT - IBM</v>
      </c>
      <c r="D6" t="str">
        <v>Global Marketing Management (GMM)</v>
      </c>
      <c r="E6">
        <v>2</v>
      </c>
      <c r="F6">
        <v>34</v>
      </c>
      <c r="G6">
        <v>0.95</v>
      </c>
      <c r="H6">
        <v>1</v>
      </c>
      <c r="I6">
        <v>0.95</v>
      </c>
      <c r="J6">
        <v>1</v>
      </c>
      <c r="K6">
        <v>0.99</v>
      </c>
      <c r="L6" t="str">
        <v/>
      </c>
      <c r="M6">
        <v>0.96</v>
      </c>
      <c r="N6">
        <f>IF(G6=0,"N/A",J6/G6)</f>
      </c>
      <c r="O6">
        <f>IF(H6=0,"N/A",IF((K6/H6)&gt;=1,K6/H6,MIN(1,(K6/H6)+((L6/H6)*1))))</f>
      </c>
      <c r="P6">
        <f>IF(I6=0,"N/A",M6/I6)</f>
      </c>
    </row>
    <row r="7">
      <c r="A7" t="str">
        <v>Top-up UWE</v>
      </c>
      <c r="B7" t="str">
        <v>SEM 2</v>
      </c>
      <c r="C7" t="str">
        <v>I18 MT - IBM</v>
      </c>
      <c r="D7" t="str">
        <v>Business Project (BP)</v>
      </c>
      <c r="E7">
        <v>2</v>
      </c>
      <c r="F7">
        <v>34</v>
      </c>
      <c r="G7">
        <v>0.95</v>
      </c>
      <c r="H7">
        <v>0.9</v>
      </c>
      <c r="I7">
        <v>0.95</v>
      </c>
      <c r="J7">
        <v>1</v>
      </c>
      <c r="K7">
        <v>1</v>
      </c>
      <c r="L7" t="str">
        <v/>
      </c>
      <c r="M7">
        <v>1</v>
      </c>
      <c r="N7">
        <f>IF(G7=0,"N/A",J7/G7)</f>
      </c>
      <c r="O7">
        <f>IF(H7=0,"N/A",IF((K7/H7)&gt;=1,K7/H7,MIN(1,(K7/H7)+((L7/H7)*1))))</f>
      </c>
      <c r="P7">
        <f>IF(I7=0,"N/A",M7/I7)</f>
      </c>
    </row>
    <row r="8">
      <c r="A8" t="str">
        <v>Top-up UWE</v>
      </c>
      <c r="B8" t="str">
        <v>SEM 2</v>
      </c>
      <c r="C8" t="str">
        <v>I19 MX - IBM</v>
      </c>
      <c r="D8" t="str">
        <v>Multinationals in the Domestic and Global Context (MDGC)</v>
      </c>
      <c r="E8">
        <v>2</v>
      </c>
      <c r="F8">
        <v>52</v>
      </c>
      <c r="G8">
        <v>0.95</v>
      </c>
      <c r="H8">
        <v>0.95</v>
      </c>
      <c r="I8">
        <v>1</v>
      </c>
      <c r="J8" t="str">
        <v/>
      </c>
      <c r="K8" t="str">
        <v/>
      </c>
      <c r="L8" t="str">
        <v/>
      </c>
      <c r="M8" t="str">
        <v/>
      </c>
      <c r="N8">
        <f>IF(G8=0,"N/A",J8/G8)</f>
      </c>
      <c r="O8">
        <f>IF(H8=0,"N/A",IF((K8/H8)&gt;=1,K8/H8,MIN(1,(K8/H8)+((L8/H8)*1))))</f>
      </c>
      <c r="P8">
        <f>IF(I8=0,"N/A",M8/I8)</f>
      </c>
    </row>
    <row r="9">
      <c r="A9" t="str">
        <v>Top-up UWE</v>
      </c>
      <c r="B9" t="str">
        <v>SEM 2</v>
      </c>
      <c r="C9" t="str">
        <v>I19 MX - IBM</v>
      </c>
      <c r="D9" t="str">
        <v>Integrated Business Management Simulation (IBMS)</v>
      </c>
      <c r="E9">
        <v>2</v>
      </c>
      <c r="F9">
        <v>52</v>
      </c>
      <c r="G9">
        <v>0.95</v>
      </c>
      <c r="H9">
        <v>0.95</v>
      </c>
      <c r="I9">
        <v>1</v>
      </c>
      <c r="J9" t="str">
        <v/>
      </c>
      <c r="K9" t="str">
        <v/>
      </c>
      <c r="L9" t="str">
        <v/>
      </c>
      <c r="M9" t="str">
        <v/>
      </c>
      <c r="N9">
        <f>IF(G9=0,"N/A",J9/G9)</f>
      </c>
      <c r="O9">
        <f>IF(H9=0,"N/A",IF((K9/H9)&gt;=1,K9/H9,MIN(1,(K9/H9)+((L9/H9)*1))))</f>
      </c>
      <c r="P9">
        <f>IF(I9=0,"N/A",M9/I9)</f>
      </c>
    </row>
    <row r="10">
      <c r="A10" t="str">
        <v>Top-up UWE</v>
      </c>
      <c r="B10" t="str">
        <v>SEM 2</v>
      </c>
      <c r="C10" t="str">
        <v>I19 MX - IBM</v>
      </c>
      <c r="D10" t="str">
        <v>Global Marketing Management (GMM)</v>
      </c>
      <c r="E10">
        <v>2</v>
      </c>
      <c r="F10">
        <v>52</v>
      </c>
      <c r="G10">
        <v>0.95</v>
      </c>
      <c r="H10">
        <v>0.95</v>
      </c>
      <c r="I10">
        <v>1</v>
      </c>
      <c r="J10" t="str">
        <v/>
      </c>
      <c r="K10" t="str">
        <v/>
      </c>
      <c r="L10" t="str">
        <v/>
      </c>
      <c r="M10" t="str">
        <v/>
      </c>
      <c r="N10">
        <f>IF(G10=0,"N/A",J10/G10)</f>
      </c>
      <c r="O10">
        <f>IF(H10=0,"N/A",IF((K10/H10)&gt;=1,K10/H10,MIN(1,(K10/H10)+((L10/H10)*1))))</f>
      </c>
      <c r="P10">
        <f>IF(I10=0,"N/A",M10/I10)</f>
      </c>
    </row>
    <row r="11">
      <c r="A11" t="str">
        <v>Top-up UWE</v>
      </c>
      <c r="B11" t="str">
        <v>SEM 2</v>
      </c>
      <c r="C11" t="str">
        <v>I19 MX - IBM</v>
      </c>
      <c r="D11" t="str">
        <v>Business Project (BP)</v>
      </c>
      <c r="E11">
        <v>2</v>
      </c>
      <c r="F11">
        <v>52</v>
      </c>
      <c r="G11">
        <v>0.95</v>
      </c>
      <c r="H11">
        <v>0.95</v>
      </c>
      <c r="I11">
        <v>1</v>
      </c>
      <c r="J11" t="str">
        <v/>
      </c>
      <c r="K11" t="str">
        <v/>
      </c>
      <c r="L11" t="str">
        <v/>
      </c>
      <c r="M11" t="str">
        <v/>
      </c>
      <c r="N11">
        <f>IF(G11=0,"N/A",J11/G11)</f>
      </c>
      <c r="O11">
        <f>IF(H11=0,"N/A",IF((K11/H11)&gt;=1,K11/H11,MIN(1,(K11/H11)+((L11/H11)*1))))</f>
      </c>
      <c r="P11">
        <f>IF(I11=0,"N/A",M11/I11)</f>
      </c>
    </row>
    <row r="12">
      <c r="A12" t="str">
        <v>Top-up UWE</v>
      </c>
      <c r="B12" t="str">
        <v>SEM 2</v>
      </c>
      <c r="C12" t="str">
        <v>I19 MT - BM</v>
      </c>
      <c r="D12" t="str">
        <v>Virtual Business</v>
      </c>
      <c r="E12">
        <v>2</v>
      </c>
      <c r="F12">
        <v>40</v>
      </c>
      <c r="G12">
        <v>0.95</v>
      </c>
      <c r="H12">
        <v>0.95</v>
      </c>
      <c r="I12">
        <v>1</v>
      </c>
      <c r="J12" t="str">
        <v/>
      </c>
      <c r="K12" t="str">
        <v/>
      </c>
      <c r="L12" t="str">
        <v/>
      </c>
      <c r="M12" t="str">
        <v/>
      </c>
      <c r="N12">
        <f>IF(G12=0,"N/A",J12/G12)</f>
      </c>
      <c r="O12">
        <f>IF(H12=0,"N/A",IF((K12/H12)&gt;=1,K12/H12,MIN(1,(K12/H12)+((L12/H12)*1))))</f>
      </c>
      <c r="P12">
        <f>IF(I12=0,"N/A",M12/I12)</f>
      </c>
    </row>
    <row r="13">
      <c r="A13" t="str">
        <v>Top-up UWE</v>
      </c>
      <c r="B13" t="str">
        <v>SEM 2</v>
      </c>
      <c r="C13" t="str">
        <v>I19 MT - BM</v>
      </c>
      <c r="D13" t="str">
        <v>Marketing Services and the Customer Experience</v>
      </c>
      <c r="E13">
        <v>2</v>
      </c>
      <c r="F13">
        <v>40</v>
      </c>
      <c r="G13">
        <v>0.95</v>
      </c>
      <c r="H13">
        <v>0.95</v>
      </c>
      <c r="I13">
        <v>1</v>
      </c>
      <c r="J13" t="str">
        <v/>
      </c>
      <c r="K13" t="str">
        <v/>
      </c>
      <c r="L13" t="str">
        <v/>
      </c>
      <c r="M13" t="str">
        <v/>
      </c>
      <c r="N13">
        <f>IF(G13=0,"N/A",J13/G13)</f>
      </c>
      <c r="O13">
        <f>IF(H13=0,"N/A",IF((K13/H13)&gt;=1,K13/H13,MIN(1,(K13/H13)+((L13/H13)*1))))</f>
      </c>
      <c r="P13">
        <f>IF(I13=0,"N/A",M13/I13)</f>
      </c>
    </row>
    <row r="14">
      <c r="A14" t="str">
        <v>Top-up UWE</v>
      </c>
      <c r="B14" t="str">
        <v>SEM 2</v>
      </c>
      <c r="C14" t="str">
        <v>I19 MT - BM</v>
      </c>
      <c r="D14" t="str">
        <v>Business Project (BP)</v>
      </c>
      <c r="E14">
        <v>2</v>
      </c>
      <c r="F14">
        <v>40</v>
      </c>
      <c r="G14">
        <v>0.95</v>
      </c>
      <c r="H14">
        <v>0.95</v>
      </c>
      <c r="I14">
        <v>1</v>
      </c>
      <c r="J14" t="str">
        <v/>
      </c>
      <c r="K14" t="str">
        <v/>
      </c>
      <c r="L14" t="str">
        <v/>
      </c>
      <c r="M14" t="str">
        <v/>
      </c>
      <c r="N14">
        <f>IF(G14=0,"N/A",J14/G14)</f>
      </c>
      <c r="O14">
        <f>IF(H14=0,"N/A",IF((K14/H14)&gt;=1,K14/H14,MIN(1,(K14/H14)+((L14/H14)*1))))</f>
      </c>
      <c r="P14">
        <f>IF(I14=0,"N/A",M14/I14)</f>
      </c>
    </row>
    <row r="15">
      <c r="A15" t="str">
        <v>Top-up UWE</v>
      </c>
      <c r="B15" t="str">
        <v>SEM 2</v>
      </c>
      <c r="C15" t="str">
        <v>I20 MX - IBM</v>
      </c>
      <c r="D15" t="str">
        <v>Multinationals in the Domestic and Global Context (MDGC)</v>
      </c>
      <c r="E15">
        <v>2</v>
      </c>
      <c r="F15">
        <v>45</v>
      </c>
      <c r="G15">
        <v>0.95</v>
      </c>
      <c r="H15">
        <v>0.95</v>
      </c>
      <c r="I15">
        <v>1</v>
      </c>
      <c r="J15" t="str">
        <v/>
      </c>
      <c r="K15" t="str">
        <v/>
      </c>
      <c r="L15" t="str">
        <v/>
      </c>
      <c r="M15" t="str">
        <v/>
      </c>
      <c r="N15">
        <f>IF(G15=0,"N/A",J15/G15)</f>
      </c>
      <c r="O15">
        <f>IF(H15=0,"N/A",IF((K15/H15)&gt;=1,K15/H15,MIN(1,(K15/H15)+((L15/H15)*1))))</f>
      </c>
      <c r="P15">
        <f>IF(I15=0,"N/A",M15/I15)</f>
      </c>
    </row>
    <row r="16">
      <c r="A16" t="str">
        <v>Top-up UWE</v>
      </c>
      <c r="B16" t="str">
        <v>SEM 2</v>
      </c>
      <c r="C16" t="str">
        <v>I20 MX - IBM</v>
      </c>
      <c r="D16" t="str">
        <v>Integrated Business Management Simulation (IBMS)</v>
      </c>
      <c r="E16">
        <v>2</v>
      </c>
      <c r="F16">
        <v>45</v>
      </c>
      <c r="G16">
        <v>0.95</v>
      </c>
      <c r="H16">
        <v>0.95</v>
      </c>
      <c r="I16">
        <v>1</v>
      </c>
      <c r="J16" t="str">
        <v/>
      </c>
      <c r="K16" t="str">
        <v/>
      </c>
      <c r="L16" t="str">
        <v/>
      </c>
      <c r="M16" t="str">
        <v/>
      </c>
      <c r="N16">
        <f>IF(G16=0,"N/A",J16/G16)</f>
      </c>
      <c r="O16">
        <f>IF(H16=0,"N/A",IF((K16/H16)&gt;=1,K16/H16,MIN(1,(K16/H16)+((L16/H16)*1))))</f>
      </c>
      <c r="P16">
        <f>IF(I16=0,"N/A",M16/I16)</f>
      </c>
    </row>
    <row r="17">
      <c r="A17" t="str">
        <v>Top-up UWE</v>
      </c>
      <c r="B17" t="str">
        <v>SEM 2</v>
      </c>
      <c r="C17" t="str">
        <v>I20 MX - IBM</v>
      </c>
      <c r="D17" t="str">
        <v>Global Marketing Management (GMM)</v>
      </c>
      <c r="E17">
        <v>2</v>
      </c>
      <c r="F17">
        <v>45</v>
      </c>
      <c r="G17">
        <v>0.95</v>
      </c>
      <c r="H17">
        <v>0.95</v>
      </c>
      <c r="I17">
        <v>1</v>
      </c>
      <c r="J17" t="str">
        <v/>
      </c>
      <c r="K17" t="str">
        <v/>
      </c>
      <c r="L17" t="str">
        <v/>
      </c>
      <c r="M17" t="str">
        <v/>
      </c>
      <c r="N17">
        <f>IF(G17=0,"N/A",J17/G17)</f>
      </c>
      <c r="O17">
        <f>IF(H17=0,"N/A",IF((K17/H17)&gt;=1,K17/H17,MIN(1,(K17/H17)+((L17/H17)*1))))</f>
      </c>
      <c r="P17">
        <f>IF(I17=0,"N/A",M17/I17)</f>
      </c>
    </row>
    <row r="18">
      <c r="A18" t="str">
        <v>Top-up UWE</v>
      </c>
      <c r="B18" t="str">
        <v>SEM 2</v>
      </c>
      <c r="C18" t="str">
        <v>I20 MX - IBM</v>
      </c>
      <c r="D18" t="str">
        <v>Business Project (BP)</v>
      </c>
      <c r="E18">
        <v>2</v>
      </c>
      <c r="F18">
        <v>45</v>
      </c>
      <c r="G18">
        <v>0.95</v>
      </c>
      <c r="H18">
        <v>0.95</v>
      </c>
      <c r="I18">
        <v>1</v>
      </c>
      <c r="J18" t="str">
        <v/>
      </c>
      <c r="K18" t="str">
        <v/>
      </c>
      <c r="L18" t="str">
        <v/>
      </c>
      <c r="M18" t="str">
        <v/>
      </c>
      <c r="N18">
        <f>IF(G18=0,"N/A",J18/G18)</f>
      </c>
      <c r="O18">
        <f>IF(H18=0,"N/A",IF((K18/H18)&gt;=1,K18/H18,MIN(1,(K18/H18)+((L18/H18)*1))))</f>
      </c>
      <c r="P18">
        <f>IF(I18=0,"N/A",M18/I18)</f>
      </c>
    </row>
    <row r="20">
      <c r="A20" t="str">
        <v/>
      </c>
      <c r="B20" t="str">
        <v>Người Duyệt</v>
      </c>
      <c r="C20" t="str">
        <v/>
      </c>
      <c r="D20" t="str">
        <v>Người đánh giá</v>
      </c>
      <c r="E20" t="str">
        <v/>
      </c>
      <c r="F20" t="str">
        <v/>
      </c>
      <c r="G20" t="str">
        <v/>
      </c>
      <c r="H20" t="str">
        <v>Người được đánh giá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5">
      <c r="A25" t="str">
        <v/>
      </c>
      <c r="B25" t="str">
        <v>Trưởng Ban</v>
      </c>
      <c r="C25" t="str">
        <v/>
      </c>
      <c r="D25" t="str">
        <v>Cán bộ quản lý trực tiếp</v>
      </c>
      <c r="E25" t="str">
        <v/>
      </c>
      <c r="F25" t="str">
        <v/>
      </c>
      <c r="G25" t="str">
        <v/>
      </c>
      <c r="H25" t="str">
        <v>Vũ Minh Nhật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</sheetData>
  <ignoredErrors>
    <ignoredError numberStoredAsText="1" sqref="A1:P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cols>
    <col min="1" max="1" width="6.83203125" customWidth="1"/>
    <col min="2" max="2" width="20.83203125" customWidth="1"/>
    <col min="3" max="3" width="45.83203125" customWidth="1"/>
    <col min="4" max="4" width="20.83203125" customWidth="1"/>
    <col min="5" max="5" width="5.83203125" customWidth="1"/>
    <col min="6" max="6" width="12.83203125" customWidth="1"/>
    <col min="7" max="7" width="15.83203125" customWidth="1"/>
    <col min="8" max="8" width="20.83203125" customWidth="1"/>
  </cols>
  <sheetData>
    <row r="1">
      <c r="A1" t="str">
        <v>Top-up UWE</v>
      </c>
      <c r="B1" t="str">
        <v/>
      </c>
      <c r="C1" t="str">
        <v/>
      </c>
      <c r="D1" t="str">
        <v/>
      </c>
      <c r="E1" t="str">
        <v/>
      </c>
      <c r="F1" t="str">
        <v>KHÓA</v>
      </c>
      <c r="G1" t="str">
        <v>NĂM HỌC</v>
      </c>
      <c r="H1" t="str">
        <v>CHƯƠNG TRÌNH HỌC</v>
      </c>
    </row>
    <row r="2">
      <c r="A2" t="str">
        <v>STT</v>
      </c>
      <c r="B2" t="str">
        <v>Kỳ Học</v>
      </c>
      <c r="C2" t="str">
        <v>Tên Môn Học Tiếng Anh</v>
      </c>
      <c r="D2" t="str">
        <v>CHƯƠNG TRÌNH HỌC</v>
      </c>
      <c r="E2" t="str">
        <v/>
      </c>
      <c r="F2" t="str">
        <v/>
      </c>
      <c r="G2" t="str">
        <v/>
      </c>
      <c r="H2" t="str">
        <v/>
      </c>
    </row>
    <row r="3">
      <c r="A3">
        <v>1</v>
      </c>
      <c r="B3" t="str">
        <v>SEM 1</v>
      </c>
      <c r="C3" t="str">
        <v>Academic and Professional Development (APD)</v>
      </c>
      <c r="D3" t="str">
        <v>I19 MX - IBM</v>
      </c>
      <c r="E3" t="str">
        <v/>
      </c>
      <c r="F3" t="str">
        <v/>
      </c>
      <c r="G3" t="str">
        <v/>
      </c>
      <c r="H3" t="str">
        <v/>
      </c>
    </row>
    <row r="4">
      <c r="A4">
        <v>2</v>
      </c>
      <c r="B4" t="str">
        <v>SEM 1</v>
      </c>
      <c r="C4" t="str">
        <v>Managing Organizational Change (MOC)</v>
      </c>
      <c r="D4" t="str">
        <v>I19 MX - IBM</v>
      </c>
      <c r="E4" t="str">
        <v/>
      </c>
      <c r="F4" t="str">
        <v/>
      </c>
      <c r="G4" t="str">
        <v/>
      </c>
      <c r="H4" t="str">
        <v/>
      </c>
    </row>
    <row r="5">
      <c r="A5">
        <v>3</v>
      </c>
      <c r="B5" t="str">
        <v>SEM 1</v>
      </c>
      <c r="C5" t="str">
        <v>Business Strategy (BS)</v>
      </c>
      <c r="D5" t="str">
        <v>I19 MX - IBM</v>
      </c>
      <c r="E5" t="str">
        <v/>
      </c>
      <c r="F5" t="str">
        <v/>
      </c>
      <c r="G5" t="str">
        <v/>
      </c>
      <c r="H5" t="str">
        <v/>
      </c>
    </row>
    <row r="6">
      <c r="A6">
        <v>4</v>
      </c>
      <c r="B6" t="str">
        <v>SEM 1</v>
      </c>
      <c r="C6" t="str">
        <v>Business Project in Theory (BPT)</v>
      </c>
      <c r="D6" t="str">
        <v>I19 MX - IBM</v>
      </c>
      <c r="E6" t="str">
        <v/>
      </c>
      <c r="F6" t="str">
        <v/>
      </c>
      <c r="G6" t="str">
        <v/>
      </c>
      <c r="H6" t="str">
        <v/>
      </c>
    </row>
    <row r="7">
      <c r="A7">
        <v>5</v>
      </c>
      <c r="B7" t="str">
        <v>SEM 1</v>
      </c>
      <c r="C7" t="str">
        <v>Academic and Professional Development (APD)</v>
      </c>
      <c r="D7" t="str">
        <v>I19 MT - BM</v>
      </c>
      <c r="E7" t="str">
        <v/>
      </c>
      <c r="F7" t="str">
        <v/>
      </c>
      <c r="G7" t="str">
        <v/>
      </c>
      <c r="H7" t="str">
        <v/>
      </c>
    </row>
    <row r="8">
      <c r="A8">
        <v>6</v>
      </c>
      <c r="B8" t="str">
        <v>SEM 1</v>
      </c>
      <c r="C8" t="str">
        <v>Managing Organizational Change (MOC)</v>
      </c>
      <c r="D8" t="str">
        <v>I19 MT - BM</v>
      </c>
      <c r="E8" t="str">
        <v/>
      </c>
      <c r="F8" t="str">
        <v/>
      </c>
      <c r="G8" t="str">
        <v/>
      </c>
      <c r="H8" t="str">
        <v/>
      </c>
    </row>
    <row r="9">
      <c r="A9">
        <v>7</v>
      </c>
      <c r="B9" t="str">
        <v>SEM 1</v>
      </c>
      <c r="C9" t="str">
        <v>Business Strategy (BS)</v>
      </c>
      <c r="D9" t="str">
        <v>I19 MT - BM</v>
      </c>
      <c r="E9" t="str">
        <v/>
      </c>
      <c r="F9" t="str">
        <v/>
      </c>
      <c r="G9" t="str">
        <v/>
      </c>
      <c r="H9" t="str">
        <v/>
      </c>
    </row>
    <row r="10">
      <c r="A10">
        <v>8</v>
      </c>
      <c r="B10" t="str">
        <v>SEM 1</v>
      </c>
      <c r="C10" t="str">
        <v>Business Project in Theory (BPT)</v>
      </c>
      <c r="D10" t="str">
        <v>I19 MT - BM</v>
      </c>
      <c r="E10" t="str">
        <v/>
      </c>
      <c r="F10" t="str">
        <v/>
      </c>
      <c r="G10" t="str">
        <v/>
      </c>
      <c r="H10" t="str">
        <v/>
      </c>
    </row>
    <row r="11">
      <c r="A11">
        <v>9</v>
      </c>
      <c r="B11" t="str">
        <v>SEM 1</v>
      </c>
      <c r="C11" t="str">
        <v>Academic and Professional Development (APD)</v>
      </c>
      <c r="D11" t="str">
        <v>I20 MX - IBM</v>
      </c>
      <c r="E11" t="str">
        <v/>
      </c>
      <c r="F11" t="str">
        <v/>
      </c>
      <c r="G11" t="str">
        <v/>
      </c>
      <c r="H11" t="str">
        <v/>
      </c>
    </row>
    <row r="12">
      <c r="A12">
        <v>10</v>
      </c>
      <c r="B12" t="str">
        <v>SEM 1</v>
      </c>
      <c r="C12" t="str">
        <v>Managing Organizational Change (MOC)</v>
      </c>
      <c r="D12" t="str">
        <v>I20 MX - IBM</v>
      </c>
      <c r="E12" t="str">
        <v/>
      </c>
      <c r="F12" t="str">
        <v/>
      </c>
      <c r="G12" t="str">
        <v/>
      </c>
      <c r="H12" t="str">
        <v/>
      </c>
    </row>
    <row r="13">
      <c r="A13">
        <v>11</v>
      </c>
      <c r="B13" t="str">
        <v>SEM 1</v>
      </c>
      <c r="C13" t="str">
        <v>Business Strategy (BS)</v>
      </c>
      <c r="D13" t="str">
        <v>I20 MX - IBM</v>
      </c>
      <c r="E13" t="str">
        <v/>
      </c>
      <c r="F13" t="str">
        <v/>
      </c>
      <c r="G13" t="str">
        <v/>
      </c>
      <c r="H13" t="str">
        <v/>
      </c>
    </row>
    <row r="14">
      <c r="A14">
        <v>12</v>
      </c>
      <c r="B14" t="str">
        <v>SEM 1</v>
      </c>
      <c r="C14" t="str">
        <v>Business Project in Theory (BPT)</v>
      </c>
      <c r="D14" t="str">
        <v>I20 MX - IBM</v>
      </c>
      <c r="E14" t="str">
        <v/>
      </c>
      <c r="F14" t="str">
        <v/>
      </c>
      <c r="G14" t="str">
        <v/>
      </c>
      <c r="H14" t="str">
        <v/>
      </c>
    </row>
    <row r="15">
      <c r="A15">
        <v>13</v>
      </c>
      <c r="B15" t="str">
        <v>SEM 2</v>
      </c>
      <c r="C15" t="str">
        <v>Multinationals in the Domestic and Global Context (MDGC)</v>
      </c>
      <c r="D15" t="str">
        <v>I18 MT - IBM</v>
      </c>
      <c r="E15" t="str">
        <v/>
      </c>
      <c r="F15" t="str">
        <v/>
      </c>
      <c r="G15" t="str">
        <v/>
      </c>
      <c r="H15" t="str">
        <v/>
      </c>
    </row>
    <row r="16">
      <c r="A16">
        <v>14</v>
      </c>
      <c r="B16" t="str">
        <v>SEM 2</v>
      </c>
      <c r="C16" t="str">
        <v>Integrated Business Management Simulation (IBMS)</v>
      </c>
      <c r="D16" t="str">
        <v>I18 MT - IBM</v>
      </c>
      <c r="E16" t="str">
        <v/>
      </c>
      <c r="F16" t="str">
        <v/>
      </c>
      <c r="G16" t="str">
        <v/>
      </c>
      <c r="H16" t="str">
        <v/>
      </c>
    </row>
    <row r="17">
      <c r="A17">
        <v>15</v>
      </c>
      <c r="B17" t="str">
        <v>SEM 2</v>
      </c>
      <c r="C17" t="str">
        <v>Global Marketing Management (GMM)</v>
      </c>
      <c r="D17" t="str">
        <v>I18 MT - IBM</v>
      </c>
      <c r="E17" t="str">
        <v/>
      </c>
      <c r="F17" t="str">
        <v/>
      </c>
      <c r="G17" t="str">
        <v/>
      </c>
      <c r="H17" t="str">
        <v/>
      </c>
    </row>
    <row r="18">
      <c r="A18">
        <v>16</v>
      </c>
      <c r="B18" t="str">
        <v>SEM 2</v>
      </c>
      <c r="C18" t="str">
        <v>Business Project (BP)</v>
      </c>
      <c r="D18" t="str">
        <v>I18 MT - IBM</v>
      </c>
      <c r="E18" t="str">
        <v/>
      </c>
      <c r="F18" t="str">
        <v/>
      </c>
      <c r="G18" t="str">
        <v/>
      </c>
      <c r="H18" t="str">
        <v/>
      </c>
    </row>
    <row r="19">
      <c r="A19">
        <v>17</v>
      </c>
      <c r="B19" t="str">
        <v>SEM 2</v>
      </c>
      <c r="C19" t="str">
        <v>Multinationals in the Domestic and Global Context (MDGC)</v>
      </c>
      <c r="D19" t="str">
        <v>I19 MX - IBM</v>
      </c>
      <c r="E19" t="str">
        <v/>
      </c>
      <c r="F19" t="str">
        <v/>
      </c>
      <c r="G19" t="str">
        <v/>
      </c>
      <c r="H19" t="str">
        <v/>
      </c>
    </row>
    <row r="20">
      <c r="A20">
        <v>18</v>
      </c>
      <c r="B20" t="str">
        <v>SEM 2</v>
      </c>
      <c r="C20" t="str">
        <v>Integrated Business Management Simulation (IBMS)</v>
      </c>
      <c r="D20" t="str">
        <v>I19 MX - IBM</v>
      </c>
      <c r="E20" t="str">
        <v/>
      </c>
      <c r="F20" t="str">
        <v/>
      </c>
      <c r="G20" t="str">
        <v/>
      </c>
      <c r="H20" t="str">
        <v/>
      </c>
    </row>
    <row r="21">
      <c r="A21">
        <v>19</v>
      </c>
      <c r="B21" t="str">
        <v>SEM 2</v>
      </c>
      <c r="C21" t="str">
        <v>Global Marketing Management (GMM)</v>
      </c>
      <c r="D21" t="str">
        <v>I19 MX - IBM</v>
      </c>
      <c r="E21" t="str">
        <v/>
      </c>
      <c r="F21" t="str">
        <v/>
      </c>
      <c r="G21" t="str">
        <v/>
      </c>
      <c r="H21" t="str">
        <v/>
      </c>
    </row>
    <row r="22">
      <c r="A22">
        <v>20</v>
      </c>
      <c r="B22" t="str">
        <v>SEM 2</v>
      </c>
      <c r="C22" t="str">
        <v>Business Project (BP)</v>
      </c>
      <c r="D22" t="str">
        <v>I19 MX - IBM</v>
      </c>
      <c r="E22" t="str">
        <v/>
      </c>
      <c r="F22" t="str">
        <v/>
      </c>
      <c r="G22" t="str">
        <v/>
      </c>
      <c r="H22" t="str">
        <v/>
      </c>
    </row>
    <row r="23">
      <c r="A23">
        <v>21</v>
      </c>
      <c r="B23" t="str">
        <v>SEM 2</v>
      </c>
      <c r="C23" t="str">
        <v>Virtual Business</v>
      </c>
      <c r="D23" t="str">
        <v>I19 MT - BM</v>
      </c>
      <c r="E23" t="str">
        <v/>
      </c>
      <c r="F23" t="str">
        <v/>
      </c>
      <c r="G23" t="str">
        <v/>
      </c>
      <c r="H23" t="str">
        <v/>
      </c>
    </row>
    <row r="24">
      <c r="A24">
        <v>22</v>
      </c>
      <c r="B24" t="str">
        <v>SEM 2</v>
      </c>
      <c r="C24" t="str">
        <v>Marketing Services and the Customer Experience</v>
      </c>
      <c r="D24" t="str">
        <v>I19 MT - BM</v>
      </c>
      <c r="E24" t="str">
        <v/>
      </c>
      <c r="F24" t="str">
        <v/>
      </c>
      <c r="G24" t="str">
        <v/>
      </c>
      <c r="H24" t="str">
        <v/>
      </c>
    </row>
    <row r="25">
      <c r="A25">
        <v>23</v>
      </c>
      <c r="B25" t="str">
        <v>SEM 2</v>
      </c>
      <c r="C25" t="str">
        <v>Business Project (BP)</v>
      </c>
      <c r="D25" t="str">
        <v>I19 MT - BM</v>
      </c>
      <c r="E25" t="str">
        <v/>
      </c>
      <c r="F25" t="str">
        <v/>
      </c>
      <c r="G25" t="str">
        <v/>
      </c>
      <c r="H25" t="str">
        <v/>
      </c>
    </row>
    <row r="26">
      <c r="A26">
        <v>24</v>
      </c>
      <c r="B26" t="str">
        <v>SEM 2</v>
      </c>
      <c r="C26" t="str">
        <v>Multinationals in the Domestic and Global Context (MDGC)</v>
      </c>
      <c r="D26" t="str">
        <v>I20 MX - IBM</v>
      </c>
      <c r="E26" t="str">
        <v/>
      </c>
      <c r="F26" t="str">
        <v/>
      </c>
      <c r="G26" t="str">
        <v/>
      </c>
      <c r="H26" t="str">
        <v/>
      </c>
    </row>
    <row r="27">
      <c r="A27">
        <v>25</v>
      </c>
      <c r="B27" t="str">
        <v>SEM 2</v>
      </c>
      <c r="C27" t="str">
        <v>Integrated Business Management Simulation (IBMS)</v>
      </c>
      <c r="D27" t="str">
        <v>I20 MX - IBM</v>
      </c>
      <c r="E27" t="str">
        <v/>
      </c>
      <c r="F27" t="str">
        <v/>
      </c>
      <c r="G27" t="str">
        <v/>
      </c>
      <c r="H27" t="str">
        <v/>
      </c>
    </row>
    <row r="28">
      <c r="A28">
        <v>26</v>
      </c>
      <c r="B28" t="str">
        <v>SEM 2</v>
      </c>
      <c r="C28" t="str">
        <v>Global Marketing Management (GMM)</v>
      </c>
      <c r="D28" t="str">
        <v>I20 MX - IBM</v>
      </c>
      <c r="E28" t="str">
        <v/>
      </c>
      <c r="F28" t="str">
        <v/>
      </c>
      <c r="G28" t="str">
        <v/>
      </c>
      <c r="H28" t="str">
        <v/>
      </c>
    </row>
    <row r="29">
      <c r="A29">
        <v>27</v>
      </c>
      <c r="B29" t="str">
        <v>SEM 2</v>
      </c>
      <c r="C29" t="str">
        <v>Business Project (BP)</v>
      </c>
      <c r="D29" t="str">
        <v>I20 MX - IBM</v>
      </c>
      <c r="E29" t="str">
        <v/>
      </c>
      <c r="F29" t="str">
        <v/>
      </c>
      <c r="G29" t="str">
        <v/>
      </c>
      <c r="H29" t="str">
        <v/>
      </c>
    </row>
  </sheetData>
  <ignoredErrors>
    <ignoredError numberStoredAsText="1" sqref="A1:H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 (50%) &amp; HĐ HTHT (20%)</vt:lpstr>
      <vt:lpstr>KQ SV &amp; KỶ LUẬT SV (20%)</vt:lpstr>
      <vt:lpstr>list các môn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