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TION (50%) &amp; HĐ HTHT (20%)" state="visible" r:id="rId4"/>
    <sheet sheetId="2" name="KQ SV &amp; KỶ LUẬT SV (20%)" state="visible" r:id="rId5"/>
    <sheet sheetId="3" name="list các môn học" state="visible" r:id="rId6"/>
    <sheet sheetId="4" name="HƯỚNG DẪN ĐIỀN" state="visible" r:id="rId7"/>
  </sheets>
  <calcPr calcId="171027"/>
</workbook>
</file>

<file path=xl/sharedStrings.xml><?xml version="1.0" encoding="utf-8"?>
<sst xmlns="http://schemas.openxmlformats.org/spreadsheetml/2006/main" count="214" uniqueCount="146">
  <si>
    <t>BẢNG ĐÁNH GIÁ KẾT QUẢ THỰC HIỆN</t>
  </si>
  <si>
    <t>CÔNG VIỆC CÁ NHÂN</t>
  </si>
  <si>
    <t>Kỳ đánh giá:</t>
  </si>
  <si>
    <t/>
  </si>
  <si>
    <t>Năm:</t>
  </si>
  <si>
    <t>Người được đánh giá</t>
  </si>
  <si>
    <t>Họ và tên:</t>
  </si>
  <si>
    <t>Chức danh:</t>
  </si>
  <si>
    <t>Mã chức danh</t>
  </si>
  <si>
    <t>Người đánh giá</t>
  </si>
  <si>
    <t>Họ và tên: Hồ Hoàng Lan</t>
  </si>
  <si>
    <t>Chức danh: Trưởng Ban Đào tạo đại học</t>
  </si>
  <si>
    <t>STT</t>
  </si>
  <si>
    <t>Nội dung đánh giá</t>
  </si>
  <si>
    <t>Đầu mục công việc</t>
  </si>
  <si>
    <t>Nhóm KPI theo mô tả CV</t>
  </si>
  <si>
    <t>Tỷ lệ các môn học có đầy đủ các tài liệu (SoW, Assessment Plan, Assignment Brief) theo yêu cầu và đúng tiến độ</t>
  </si>
  <si>
    <t>%</t>
  </si>
  <si>
    <t>Tỷ lệ các môn có đầy đủ tài liệu môn học trong quá trình đúng hạn</t>
  </si>
  <si>
    <t>Quản lý tài liệu liên quan GV</t>
  </si>
  <si>
    <t xml:space="preserve">Cung cấp thông tin phục vụ hoàn thiện các thủ tục ký hợp đồng, thanh lý hợp đồng giảng, thủ tục thanh toán tiền giảng/trợ giảng
- HĐ GV
- Thanh toán giảng dạy
- Thanh toán chấm bài</t>
  </si>
  <si>
    <t>Tỷ lệ giảng viên được cập nhật thông tin theo đúng tiến độ và kế hoạch vận hành</t>
  </si>
  <si>
    <t>Vận hành Lớp học</t>
  </si>
  <si>
    <t>Tổ chức lớp học</t>
  </si>
  <si>
    <t>Tỷ lệ các lớp được set up theo kế hoạch (Làm &amp; TB TKB cho GV &amp; SV, tạo lớp Moodle, tạo account cho GV và SV, enroll GV và SV)</t>
  </si>
  <si>
    <t>Quản lý điểm</t>
  </si>
  <si>
    <t>Quản lý điểm và quá trình đánh giá SV</t>
  </si>
  <si>
    <t>Tỷ lệ các môn học hoàn thành điểm theo đúng kế hoạch</t>
  </si>
  <si>
    <t>OPERATION (50%) &amp; HĐ hỗ trợ HT (20%)</t>
  </si>
  <si>
    <t>Hoạt động ngoại khóa</t>
  </si>
  <si>
    <t>Tổ chức hoạt động Tọa đàm, hội thảo chuyên đề, guest speaker, field trip</t>
  </si>
  <si>
    <t>Số lượng các hoạt động được triển khai</t>
  </si>
  <si>
    <t>Rà soát kết quả học tập</t>
  </si>
  <si>
    <t>Rà soát kết quả học tập, hồ sơ hoàn thành chương trình</t>
  </si>
  <si>
    <t>Tỷ lệ các môn học có file kết quả rà soát theo yêu cầu</t>
  </si>
  <si>
    <t>Turnitin</t>
  </si>
  <si>
    <t>Giám sát liêm chính học thuật</t>
  </si>
  <si>
    <t>Tỷ lệ các môn học có báo cáo kết quả rà soát Turnitin theo yêu cầu</t>
  </si>
  <si>
    <t>Phản hồi GV &amp; SV</t>
  </si>
  <si>
    <t>Xử lý các phản hồi của SV &amp; GV</t>
  </si>
  <si>
    <t>Số lượng kiến nghị của sinh viên được xử lý kịp thời (SV KHÔNG phải phản hồi lên cấp cao hơn)</t>
  </si>
  <si>
    <t>Module report &amp; Feedback</t>
  </si>
  <si>
    <t>Hoàn thành module report và gửi feedback của SV cho GV</t>
  </si>
  <si>
    <t>Tỉ lệ số môn học đã làm feedback và gửi report xử lý số liệu cho GV</t>
  </si>
  <si>
    <t>Hồ sơ SV</t>
  </si>
  <si>
    <t>Quản lý tiến trình học tập của sinh viên</t>
  </si>
  <si>
    <t>Tỷ lệ hồ sơ sinh viên được cập nhật &amp; giải quyết, đồng bộ thông tin học tập chính xác theo các mốc tiến độ trong kỳ. (Các giấy tờ liên quan đến Giấy xác nhận, lớp học lại...)</t>
  </si>
  <si>
    <t>Tuyển sinh</t>
  </si>
  <si>
    <t>Tham gia công tác tuyển sinh</t>
  </si>
  <si>
    <t>Số lượng hoạt động tuyển sinh đã tham gia</t>
  </si>
  <si>
    <t>Hỗ trợ SV du học &amp; exchange</t>
  </si>
  <si>
    <t>Quản lý &amp; hỗ trợ SV trao đổi/ du học</t>
  </si>
  <si>
    <t>Tỷ lệ sinh viên có nhu cầu chuyển tiếp/trao đổi được hỗ trợ hoàn thiện hồ sơ đi nước ngoài, mở tài khoản phần mềm liên kết và xuất bảng điểm kịp thời.</t>
  </si>
  <si>
    <t>Hoạt động khác</t>
  </si>
  <si>
    <t>Các hoạt động khác do Viện tổ chức</t>
  </si>
  <si>
    <t>Số lượng hoạt động đã tham gia đóng góp</t>
  </si>
  <si>
    <t>← Ô vàng: Coordinator tự điền</t>
  </si>
  <si>
    <t>← Ô xanh: Tự động tính (công thức)</t>
  </si>
  <si>
    <t>← Ô cam: Line Manager / Trưởng Ban điền</t>
  </si>
  <si>
    <t>Người Duyệt</t>
  </si>
  <si>
    <t>Trưởng Ban</t>
  </si>
  <si>
    <t>Cán bộ quản lý trực tiếp</t>
  </si>
  <si>
    <t>MỤC TIÊU ĐẦU KỲ</t>
  </si>
  <si>
    <t>KẾT QUẢ CUỐI KỲ</t>
  </si>
  <si>
    <t>MỨC ĐỘ HOÀN THÀNH</t>
  </si>
  <si>
    <t>Kỷ luật</t>
  </si>
  <si>
    <t>Học tập</t>
  </si>
  <si>
    <t>Chương trình</t>
  </si>
  <si>
    <t>Kỳ học</t>
  </si>
  <si>
    <t>Khóa</t>
  </si>
  <si>
    <t>Môn</t>
  </si>
  <si>
    <t>Số lượng GV</t>
  </si>
  <si>
    <t>Số lượng sinh viên</t>
  </si>
  <si>
    <t xml:space="preserve">Tỉ lệ đi học
đầy đủ</t>
  </si>
  <si>
    <t xml:space="preserve">Mục tiêu
pass 1st</t>
  </si>
  <si>
    <t xml:space="preserve">Mục tiêu nộp bài/
thi lần đầu
đúng hạn</t>
  </si>
  <si>
    <t>Tỉ lệ pass 1st</t>
  </si>
  <si>
    <t xml:space="preserve">Tỉ lệ pass
sau Resit</t>
  </si>
  <si>
    <t xml:space="preserve">Tỷ lệ nộp bài/thi
lần đầu đúng hạn</t>
  </si>
  <si>
    <t xml:space="preserve">Tỉ lệ pass
(Hiệu suất HT sau
tính bù điểm Resit)</t>
  </si>
  <si>
    <t>Chú thích:</t>
  </si>
  <si>
    <t>← Vàng nhạt: Thông tin lớp (Coordinator điền)</t>
  </si>
  <si>
    <t>← Xanh: Mục tiêu đầu kỳ (Coordinator điền)</t>
  </si>
  <si>
    <t>← Vàng: Kết quả cuối kỳ (Coordinator điền)</t>
  </si>
  <si>
    <t>← Xanh lá: Tự động tính (KHÔNG SỬA)</t>
  </si>
  <si>
    <t>DANH MỤC MÔN HỌC TOÀN CHƯƠNG TRÌNH</t>
  </si>
  <si>
    <t>KHÓA</t>
  </si>
  <si>
    <t>NĂM HỌC</t>
  </si>
  <si>
    <t>CHƯƠNG TRÌNH HỌC</t>
  </si>
  <si>
    <t>Kỳ Học</t>
  </si>
  <si>
    <t>Tên Môn Học Tiếng Anh</t>
  </si>
  <si>
    <t>HƯỚNG DẪN SỬ DỤNG FILE MẪU ĐÁNH GIÁ KPI</t>
  </si>
  <si>
    <t>QUY TẮC MÀU SẮC:</t>
  </si>
  <si>
    <t>Ô NỀN VÀNG (sáng)</t>
  </si>
  <si>
    <t>Coordinator TỰ ĐIỀN số liệu vào đây</t>
  </si>
  <si>
    <t>Ô NỀN XANH DƯƠNG NHẠ</t>
  </si>
  <si>
    <t>Mục tiêu đầu kỳ - được Ban giao hoặc Coordinator tự điền theo kế hoạch</t>
  </si>
  <si>
    <t>Ô NỀN CAM NHẠT</t>
  </si>
  <si>
    <t>Line Manager / Trưởng Ban điền đánh giá (thang điểm 1-100 và nhận xét)</t>
  </si>
  <si>
    <t>Ô NỀN XANH LÁ NHẠT</t>
  </si>
  <si>
    <t>TỰ ĐỘNG TÍNH bằng công thức — KHÔNG ĐƯỢC SỬA</t>
  </si>
  <si>
    <t>SHEET 1: OPERATION (50%) &amp; HĐ HTHT (20%)</t>
  </si>
  <si>
    <t>Cột H - Số lượng được giao:</t>
  </si>
  <si>
    <t>Nhập số lượng mục tiêu được giao đầu kỳ (VD: 6 môn, 10 GV, 16 lớp...)</t>
  </si>
  <si>
    <t>Cột I - Số lượng hoàn thành:</t>
  </si>
  <si>
    <t>Nhập số lượng thực tế đã hoàn thành cuối kỳ</t>
  </si>
  <si>
    <t>Cột J - Tỉ lệ hoàn thành:</t>
  </si>
  <si>
    <t>TỰ ĐỘNG = I/H (KHÔNG SỬA)</t>
  </si>
  <si>
    <t>Cột K - Đánh giá Line Manager:</t>
  </si>
  <si>
    <t>Line Manager nhập điểm từ 1 đến 100</t>
  </si>
  <si>
    <t>Cột L - Đánh giá Trưởng Ban:</t>
  </si>
  <si>
    <t>Trưởng Ban nhập điểm từ 1 đến 100</t>
  </si>
  <si>
    <t>Cột M - Nhận xét Trưởng Ban:</t>
  </si>
  <si>
    <t>Trưởng Ban viết nhận xét 100-200 từ</t>
  </si>
  <si>
    <t>SHEET 2: KQ SV &amp; KỶ LUẬT SV (20%)</t>
  </si>
  <si>
    <t>Cột A-F: Thông tin lớp học:</t>
  </si>
  <si>
    <t>Điền: Chương trình, Kỳ học, Khóa, Tên môn, Số GV, Số SV</t>
  </si>
  <si>
    <t>Cột G-I: Mục tiêu đầu kỳ:</t>
  </si>
  <si>
    <t>Điền tỉ lệ mục tiêu (dạng thập phân, VD: 0.9 = 90%)</t>
  </si>
  <si>
    <t>Cột J: Tỉ lệ đi học đầy đủ:</t>
  </si>
  <si>
    <t>Nhập = Số SV chuyên cần / Tổng SV (VD: 83/85)</t>
  </si>
  <si>
    <t>Cột K: Tỉ lệ pass lần 1:</t>
  </si>
  <si>
    <t>Nhập = Số SV đạt lần 1 / Số SV thi (VD: 57/71)</t>
  </si>
  <si>
    <t>Cột L: Tỉ lệ pass sau Resit:</t>
  </si>
  <si>
    <t>Nhập = Số SV đạt resit / Số SV thi lại (VD: 13/26)</t>
  </si>
  <si>
    <t>Cột M: Tỷ lệ nộp bài đúng hạn:</t>
  </si>
  <si>
    <t>Nhập tỉ lệ thực tế (VD: 1 hoặc 0.97)</t>
  </si>
  <si>
    <t>Cột N-P: Mức độ hoàn thành:</t>
  </si>
  <si>
    <t>TỰ ĐỘNG TÍNH (KHÔNG SỬA)</t>
  </si>
  <si>
    <t xml:space="preserve">  N = J/G</t>
  </si>
  <si>
    <t>Tỉ lệ hoàn thành chuyên cần</t>
  </si>
  <si>
    <t xml:space="preserve">  O = IF((K/H)&gt;=1, K/H, MIN(1, K/H + L/H))</t>
  </si>
  <si>
    <t>Hiệu suất học tập (có cộng bù điểm resit)</t>
  </si>
  <si>
    <t xml:space="preserve">  P = M/I</t>
  </si>
  <si>
    <t>Tỉ lệ hoàn thành nộp bài</t>
  </si>
  <si>
    <t>SHEET 3: list các môn học</t>
  </si>
  <si>
    <t>Liệt kê TẤT CẢ các môn:</t>
  </si>
  <si>
    <t>Toàn bộ môn học trong lộ trình chương trình phụ trách (Năm 1 đến Năm cuối)</t>
  </si>
  <si>
    <t>Phân chia theo Kỳ Học:</t>
  </si>
  <si>
    <t>SEM FALL, SEM SPRING, SEM SUMMER...</t>
  </si>
  <si>
    <t>LƯU Ý QUAN TRỌNG:</t>
  </si>
  <si>
    <t>1. KHÔNG sửa công thức ở cột J (Sheet 1) và cột N, O, P (Sheet 2)</t>
  </si>
  <si>
    <t>2. KHÔNG thêm/xóa cột</t>
  </si>
  <si>
    <t>3. Có thể thêm dòng mới nếu số môn vượt quá 30 (Sheet 2) hoặc 50 (Sheet 3)</t>
  </si>
  <si>
    <t>4. Nhập tỉ lệ dạng thập phân: 90% = 0.9, 100% = 1</t>
  </si>
  <si>
    <t>5. Có thể nhập phân số trực tiếp vào cột J-L Sheet 2: VD nhập =83/85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</si>
</sst>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sz val="11"/>
    </font>
    <font>
      <b/>
      <color rgb="FFFFFFFF"/>
      <sz val="11"/>
    </font>
    <font>
      <b/>
      <sz val="10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CE6F1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0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2" fillId="2" borderId="0" xfId="0" applyFont="1" applyFill="1" applyProtection="1">
      <protection locked="0"/>
    </xf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left" vertical="center" wrapText="1"/>
      <protection locked="0"/>
    </xf>
    <xf numFmtId="9" fontId="3" fillId="6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0" fontId="3" fillId="4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0" fillId="6" borderId="0" xfId="0" applyFill="1"/>
    <xf numFmtId="0" fontId="0" fillId="4" borderId="0" xfId="0" applyFill="1"/>
    <xf numFmtId="0" fontId="3" fillId="6" borderId="1" xfId="0" applyFont="1" applyFill="1" applyBorder="1" applyAlignment="1" applyProtection="1">
      <alignment horizontal="center" vertical="center" wrapText="1"/>
    </xf>
    <xf numFmtId="0" fontId="1" fillId="0" borderId="0" xfId="0" applyFont="1"/>
    <xf numFmtId="0" fontId="2" fillId="2" borderId="0" xfId="0" applyFont="1" applyFill="1"/>
    <xf numFmtId="0" fontId="2" fillId="6" borderId="0" xfId="0" applyFont="1" applyFill="1"/>
    <xf numFmtId="0" fontId="2" fillId="5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 defaultColWidth="15"/>
  <cols>
    <col min="1" max="1" width="6" customWidth="1"/>
    <col min="2" max="3" width="22" customWidth="1"/>
    <col min="4" max="4" width="35" customWidth="1"/>
    <col min="5" max="5" width="50" customWidth="1"/>
    <col min="6" max="6" width="10" customWidth="1"/>
    <col min="7" max="7" width="14" customWidth="1"/>
    <col min="8" max="8" width="16" customWidth="1"/>
    <col min="9" max="9" width="18" customWidth="1"/>
    <col min="10" max="12" width="16" customWidth="1"/>
    <col min="13" max="13" width="3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B3"/>
      <c r="C3"/>
      <c r="D3"/>
      <c r="E3" s="2" t="s">
        <v>2</v>
      </c>
      <c r="F3" s="3" t="s">
        <v>3</v>
      </c>
      <c r="G3" s="3"/>
      <c r="H3" s="3"/>
      <c r="I3" s="3"/>
      <c r="K3" s="2" t="s">
        <v>4</v>
      </c>
      <c r="L3" s="2"/>
    </row>
    <row r="4" spans="1:12" x14ac:dyDescent="0.25">
      <c r="A4" s="4" t="s">
        <v>5</v>
      </c>
      <c r="B4" s="4"/>
      <c r="C4" s="4"/>
      <c r="D4" s="4"/>
      <c r="E4" s="2" t="s">
        <v>6</v>
      </c>
      <c r="F4" s="2"/>
      <c r="G4" s="2"/>
      <c r="H4" s="2"/>
      <c r="I4" s="2"/>
      <c r="J4" s="2"/>
      <c r="K4" s="2"/>
      <c r="L4" s="2"/>
    </row>
    <row r="5" spans="1:12" x14ac:dyDescent="0.25">
      <c r="A5" s="4"/>
      <c r="B5" s="4"/>
      <c r="C5" s="4"/>
      <c r="D5" s="4"/>
      <c r="E5" s="2" t="s">
        <v>7</v>
      </c>
      <c r="F5" s="5" t="s">
        <v>3</v>
      </c>
      <c r="G5" s="5"/>
      <c r="H5" s="5"/>
      <c r="I5" s="5"/>
      <c r="K5" s="2" t="s">
        <v>8</v>
      </c>
      <c r="L5" s="2"/>
    </row>
    <row r="6" spans="1:12" x14ac:dyDescent="0.25">
      <c r="A6" s="4" t="s">
        <v>9</v>
      </c>
      <c r="B6" s="4"/>
      <c r="C6" s="4"/>
      <c r="D6" s="4"/>
      <c r="E6" s="2" t="s">
        <v>10</v>
      </c>
      <c r="F6" s="2"/>
      <c r="G6" s="2"/>
      <c r="H6" s="2"/>
      <c r="I6" s="2"/>
      <c r="J6" s="2"/>
      <c r="K6" s="2"/>
      <c r="L6" s="2"/>
    </row>
    <row r="7" spans="1:12" x14ac:dyDescent="0.25">
      <c r="A7" s="4"/>
      <c r="B7" s="4"/>
      <c r="C7" s="4"/>
      <c r="D7" s="4"/>
      <c r="E7" s="2" t="s">
        <v>11</v>
      </c>
      <c r="G7"/>
      <c r="H7"/>
      <c r="I7"/>
      <c r="K7" s="2" t="s">
        <v>8</v>
      </c>
      <c r="L7" s="2"/>
    </row>
    <row r="8" spans="1:12" x14ac:dyDescent="0.25">
      <c r="B8"/>
      <c r="C8"/>
      <c r="D8"/>
      <c r="E8"/>
      <c r="F8"/>
      <c r="G8"/>
      <c r="H8"/>
      <c r="I8"/>
      <c r="J8"/>
      <c r="K8"/>
      <c r="L8"/>
    </row>
    <row r="9" ht="45" customHeight="1" spans="1:13" x14ac:dyDescent="0.25">
      <c r="A9" s="6" t="s">
        <v>12</v>
      </c>
      <c r="B9" s="6" t="s">
        <v>3</v>
      </c>
      <c r="C9" s="6"/>
      <c r="D9" s="6"/>
      <c r="E9" s="6" t="s">
        <v>3</v>
      </c>
      <c r="F9" s="6" t="s">
        <v>3</v>
      </c>
      <c r="G9" s="6" t="s">
        <v>3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3</v>
      </c>
      <c r="M9" s="6" t="s">
        <v>3</v>
      </c>
    </row>
    <row r="10" ht="25" customHeight="1" spans="1:13" x14ac:dyDescent="0.25">
      <c r="A10" s="6" t="s">
        <v>3</v>
      </c>
      <c r="B10" s="6" t="s">
        <v>13</v>
      </c>
      <c r="C10" s="6" t="s">
        <v>14</v>
      </c>
      <c r="D10" s="6" t="s">
        <v>15</v>
      </c>
      <c r="E10" s="6"/>
      <c r="F10" s="6"/>
      <c r="G10" s="6"/>
      <c r="H10" s="6"/>
      <c r="I10" s="6"/>
      <c r="J10" s="6"/>
      <c r="K10" s="6"/>
      <c r="L10" s="6"/>
      <c r="M10" s="6"/>
    </row>
    <row r="11" ht="35" customHeight="1" spans="1:13" x14ac:dyDescent="0.25">
      <c r="A11" s="7" t="s">
        <v>3</v>
      </c>
      <c r="B11" s="7" t="s">
        <v>3</v>
      </c>
      <c r="C11" s="8" t="s">
        <v>3</v>
      </c>
      <c r="D11" s="8" t="s">
        <v>3</v>
      </c>
      <c r="E11" s="8" t="s">
        <v>16</v>
      </c>
      <c r="F11" s="9" t="s">
        <v>17</v>
      </c>
      <c r="G11" s="10">
        <v>1</v>
      </c>
      <c r="H11" s="11"/>
      <c r="I11" s="11"/>
      <c r="J11" s="12">
        <f>IF(H11=0,"",I11/H11)</f>
      </c>
      <c r="K11" s="13"/>
      <c r="L11" s="13"/>
      <c r="M11" s="14"/>
    </row>
    <row r="12" ht="35" customHeight="1" spans="1:13" x14ac:dyDescent="0.25">
      <c r="A12" s="7"/>
      <c r="B12" s="7"/>
      <c r="C12" s="8"/>
      <c r="D12" s="8"/>
      <c r="E12" s="8" t="s">
        <v>18</v>
      </c>
      <c r="F12" s="9" t="s">
        <v>17</v>
      </c>
      <c r="G12" s="10">
        <v>1</v>
      </c>
      <c r="H12" s="11"/>
      <c r="I12" s="11"/>
      <c r="J12" s="12">
        <f>IF(H12=0,"",I12/H12)</f>
      </c>
      <c r="K12" s="13"/>
      <c r="L12" s="13"/>
      <c r="M12" s="14"/>
    </row>
    <row r="13" ht="35" customHeight="1" spans="1:13" x14ac:dyDescent="0.25">
      <c r="A13" s="7">
        <v>2</v>
      </c>
      <c r="B13" s="7"/>
      <c r="C13" s="8" t="s">
        <v>19</v>
      </c>
      <c r="D13" s="8" t="s">
        <v>20</v>
      </c>
      <c r="E13" s="8" t="s">
        <v>21</v>
      </c>
      <c r="F13" s="9" t="s">
        <v>17</v>
      </c>
      <c r="G13" s="10">
        <v>1</v>
      </c>
      <c r="H13" s="11"/>
      <c r="I13" s="11"/>
      <c r="J13" s="12">
        <f>IF(H13=0,"",I13/H13)</f>
      </c>
      <c r="K13" s="13"/>
      <c r="L13" s="13"/>
      <c r="M13" s="14"/>
    </row>
    <row r="14" ht="35" customHeight="1" spans="1:13" x14ac:dyDescent="0.25">
      <c r="A14" s="7">
        <v>3</v>
      </c>
      <c r="B14" s="7"/>
      <c r="C14" s="8" t="s">
        <v>22</v>
      </c>
      <c r="D14" s="8" t="s">
        <v>23</v>
      </c>
      <c r="E14" s="8" t="s">
        <v>24</v>
      </c>
      <c r="F14" s="9" t="s">
        <v>17</v>
      </c>
      <c r="G14" s="10">
        <v>1</v>
      </c>
      <c r="H14" s="11"/>
      <c r="I14" s="11"/>
      <c r="J14" s="12">
        <f>IF(H14=0,"",I14/H14)</f>
      </c>
      <c r="K14" s="13"/>
      <c r="L14" s="13"/>
      <c r="M14" s="14"/>
    </row>
    <row r="15" ht="35" customHeight="1" spans="1:13" x14ac:dyDescent="0.25">
      <c r="A15" s="7">
        <v>4</v>
      </c>
      <c r="B15" s="7"/>
      <c r="C15" s="8" t="s">
        <v>25</v>
      </c>
      <c r="D15" s="8" t="s">
        <v>26</v>
      </c>
      <c r="E15" s="8" t="s">
        <v>27</v>
      </c>
      <c r="F15" s="9" t="s">
        <v>17</v>
      </c>
      <c r="G15" s="10">
        <v>1</v>
      </c>
      <c r="H15" s="11"/>
      <c r="I15" s="11"/>
      <c r="J15" s="12">
        <f>IF(H15=0,"",I15/H15)</f>
      </c>
      <c r="K15" s="13"/>
      <c r="L15" s="13"/>
      <c r="M15" s="14"/>
    </row>
    <row r="16" ht="35" customHeight="1" spans="1:13" x14ac:dyDescent="0.25">
      <c r="A16" s="7">
        <v>5</v>
      </c>
      <c r="B16" s="7" t="s">
        <v>28</v>
      </c>
      <c r="C16" s="8" t="s">
        <v>29</v>
      </c>
      <c r="D16" s="8" t="s">
        <v>30</v>
      </c>
      <c r="E16" s="8" t="s">
        <v>31</v>
      </c>
      <c r="F16" s="9" t="s">
        <v>17</v>
      </c>
      <c r="G16" s="10">
        <v>1</v>
      </c>
      <c r="H16" s="11"/>
      <c r="I16" s="11"/>
      <c r="J16" s="12">
        <f>IF(H16=0,"",I16/H16)</f>
      </c>
      <c r="K16" s="13"/>
      <c r="L16" s="13"/>
      <c r="M16" s="14"/>
    </row>
    <row r="17" ht="35" customHeight="1" spans="1:13" x14ac:dyDescent="0.25">
      <c r="A17" s="7">
        <v>6</v>
      </c>
      <c r="B17" s="7" t="s">
        <v>3</v>
      </c>
      <c r="C17" s="8" t="s">
        <v>32</v>
      </c>
      <c r="D17" s="8" t="s">
        <v>33</v>
      </c>
      <c r="E17" s="8" t="s">
        <v>34</v>
      </c>
      <c r="F17" s="9" t="s">
        <v>17</v>
      </c>
      <c r="G17" s="10">
        <v>1</v>
      </c>
      <c r="H17" s="11"/>
      <c r="I17" s="11"/>
      <c r="J17" s="12">
        <f>IF(H17=0,"",I17/H17)</f>
      </c>
      <c r="K17" s="13"/>
      <c r="L17" s="13"/>
      <c r="M17" s="14"/>
    </row>
    <row r="18" ht="35" customHeight="1" spans="1:13" x14ac:dyDescent="0.25">
      <c r="A18" s="7">
        <v>7</v>
      </c>
      <c r="B18" s="7"/>
      <c r="C18" s="8" t="s">
        <v>35</v>
      </c>
      <c r="D18" s="8" t="s">
        <v>36</v>
      </c>
      <c r="E18" s="8" t="s">
        <v>37</v>
      </c>
      <c r="F18" s="9" t="s">
        <v>17</v>
      </c>
      <c r="G18" s="10">
        <v>1</v>
      </c>
      <c r="H18" s="11"/>
      <c r="I18" s="11"/>
      <c r="J18" s="12">
        <f>IF(H18=0,"",I18/H18)</f>
      </c>
      <c r="K18" s="13"/>
      <c r="L18" s="13"/>
      <c r="M18" s="14"/>
    </row>
    <row r="19" ht="35" customHeight="1" spans="1:13" x14ac:dyDescent="0.25">
      <c r="A19" s="7">
        <v>8</v>
      </c>
      <c r="B19" s="7"/>
      <c r="C19" s="8" t="s">
        <v>38</v>
      </c>
      <c r="D19" s="8" t="s">
        <v>39</v>
      </c>
      <c r="E19" s="8" t="s">
        <v>40</v>
      </c>
      <c r="F19" s="9" t="s">
        <v>17</v>
      </c>
      <c r="G19" s="10">
        <v>1</v>
      </c>
      <c r="H19" s="11"/>
      <c r="I19" s="11"/>
      <c r="J19" s="12">
        <f>IF(H19=0,"",I19/H19)</f>
      </c>
      <c r="K19" s="13"/>
      <c r="L19" s="13"/>
      <c r="M19" s="14"/>
    </row>
    <row r="20" ht="35" customHeight="1" spans="1:13" x14ac:dyDescent="0.25">
      <c r="A20" s="7">
        <v>9</v>
      </c>
      <c r="B20" s="7"/>
      <c r="C20" s="8" t="s">
        <v>41</v>
      </c>
      <c r="D20" s="8" t="s">
        <v>42</v>
      </c>
      <c r="E20" s="8" t="s">
        <v>43</v>
      </c>
      <c r="F20" s="9" t="s">
        <v>17</v>
      </c>
      <c r="G20" s="10">
        <v>1</v>
      </c>
      <c r="H20" s="11"/>
      <c r="I20" s="11"/>
      <c r="J20" s="12">
        <f>IF(H20=0,"",I20/H20)</f>
      </c>
      <c r="K20" s="13"/>
      <c r="L20" s="13"/>
      <c r="M20" s="14"/>
    </row>
    <row r="21" ht="35" customHeight="1" spans="1:13" x14ac:dyDescent="0.25">
      <c r="A21" s="7">
        <v>10</v>
      </c>
      <c r="B21" s="7"/>
      <c r="C21" s="8" t="s">
        <v>44</v>
      </c>
      <c r="D21" s="8" t="s">
        <v>45</v>
      </c>
      <c r="E21" s="8" t="s">
        <v>46</v>
      </c>
      <c r="F21" s="9" t="s">
        <v>17</v>
      </c>
      <c r="G21" s="10">
        <v>1</v>
      </c>
      <c r="H21" s="11"/>
      <c r="I21" s="11"/>
      <c r="J21" s="12">
        <f>IF(H21=0,"",I21/H21)</f>
      </c>
      <c r="K21" s="13"/>
      <c r="L21" s="13"/>
      <c r="M21" s="14"/>
    </row>
    <row r="22" ht="35" customHeight="1" spans="1:13" x14ac:dyDescent="0.25">
      <c r="A22" s="7">
        <v>11</v>
      </c>
      <c r="B22" s="7" t="s">
        <v>3</v>
      </c>
      <c r="C22" s="8" t="s">
        <v>47</v>
      </c>
      <c r="D22" s="8" t="s">
        <v>48</v>
      </c>
      <c r="E22" s="8" t="s">
        <v>49</v>
      </c>
      <c r="F22" s="9" t="s">
        <v>17</v>
      </c>
      <c r="G22" s="10">
        <v>1</v>
      </c>
      <c r="H22" s="11"/>
      <c r="I22" s="11"/>
      <c r="J22" s="12">
        <f>IF(H22=0,"",I22/H22)</f>
      </c>
      <c r="K22" s="13"/>
      <c r="L22" s="13"/>
      <c r="M22" s="14"/>
    </row>
    <row r="23" ht="35" customHeight="1" spans="1:13" x14ac:dyDescent="0.25">
      <c r="A23" s="7">
        <v>12</v>
      </c>
      <c r="B23" s="7"/>
      <c r="C23" s="8" t="s">
        <v>50</v>
      </c>
      <c r="D23" s="8" t="s">
        <v>51</v>
      </c>
      <c r="E23" s="8" t="s">
        <v>52</v>
      </c>
      <c r="F23" s="9" t="s">
        <v>17</v>
      </c>
      <c r="G23" s="10">
        <v>1</v>
      </c>
      <c r="H23" s="11"/>
      <c r="I23" s="11"/>
      <c r="J23" s="12">
        <f>IF(H23=0,"",I23/H23)</f>
      </c>
      <c r="K23" s="13"/>
      <c r="L23" s="13"/>
      <c r="M23" s="14"/>
    </row>
    <row r="24" ht="35" customHeight="1" spans="1:13" x14ac:dyDescent="0.25">
      <c r="A24" s="7">
        <v>13</v>
      </c>
      <c r="B24" s="7"/>
      <c r="C24" s="8" t="s">
        <v>53</v>
      </c>
      <c r="D24" s="8" t="s">
        <v>54</v>
      </c>
      <c r="E24" s="8" t="s">
        <v>55</v>
      </c>
      <c r="F24" s="9" t="s">
        <v>17</v>
      </c>
      <c r="G24" s="10">
        <v>1</v>
      </c>
      <c r="H24" s="11"/>
      <c r="I24" s="11"/>
      <c r="J24" s="12">
        <f>IF(H24=0,"",I24/H24)</f>
      </c>
      <c r="K24" s="13"/>
      <c r="L24" s="13"/>
      <c r="M24" s="14"/>
    </row>
    <row r="26" spans="8:11" x14ac:dyDescent="0.25">
      <c r="H26" s="15" t="s">
        <v>56</v>
      </c>
      <c r="J26" s="16" t="s">
        <v>57</v>
      </c>
      <c r="K26" s="17" t="s">
        <v>58</v>
      </c>
    </row>
    <row r="28" spans="4:9" x14ac:dyDescent="0.25">
      <c r="D28" s="2" t="s">
        <v>59</v>
      </c>
      <c r="E28" s="2" t="s">
        <v>9</v>
      </c>
      <c r="I28" s="2" t="s">
        <v>5</v>
      </c>
    </row>
    <row r="32" spans="4:9" x14ac:dyDescent="0.25">
      <c r="D32" s="2" t="s">
        <v>60</v>
      </c>
      <c r="E32" s="2" t="s">
        <v>61</v>
      </c>
      <c r="I32" s="18"/>
    </row>
  </sheetData>
  <sheetProtection sheet="1"/>
  <mergeCells count="30">
    <mergeCell ref="A1:L1"/>
    <mergeCell ref="A2:L2"/>
    <mergeCell ref="A3:D3"/>
    <mergeCell ref="F3:I3"/>
    <mergeCell ref="K3:L3"/>
    <mergeCell ref="A4:D5"/>
    <mergeCell ref="E4:L4"/>
    <mergeCell ref="F5:I5"/>
    <mergeCell ref="K5:L5"/>
    <mergeCell ref="A6:D7"/>
    <mergeCell ref="E6:L6"/>
    <mergeCell ref="F7:I7"/>
    <mergeCell ref="K7:L7"/>
    <mergeCell ref="A8:L8"/>
    <mergeCell ref="B9:D9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A11:A12"/>
    <mergeCell ref="B11:B15"/>
    <mergeCell ref="C11:C12"/>
    <mergeCell ref="D11:D12"/>
    <mergeCell ref="B17:B21"/>
    <mergeCell ref="B22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4" customWidth="1"/>
    <col min="4" max="4" width="40" customWidth="1"/>
    <col min="5" max="5" width="12" customWidth="1"/>
    <col min="6" max="8" width="14" customWidth="1"/>
    <col min="9" max="9" width="16" customWidth="1"/>
    <col min="10" max="12" width="14" customWidth="1"/>
    <col min="13" max="13" width="16" customWidth="1"/>
    <col min="14" max="14" width="14" customWidth="1"/>
    <col min="15" max="15" width="20" customWidth="1"/>
    <col min="16" max="16" width="16" customWidth="1"/>
  </cols>
  <sheetData>
    <row r="1" ht="25" customHeight="1" spans="7:16" x14ac:dyDescent="0.25">
      <c r="G1" s="19" t="s">
        <v>62</v>
      </c>
      <c r="H1" s="19"/>
      <c r="I1" s="19"/>
      <c r="J1" s="20" t="s">
        <v>63</v>
      </c>
      <c r="K1" s="20"/>
      <c r="L1" s="20"/>
      <c r="M1" s="20"/>
      <c r="N1" s="21" t="s">
        <v>64</v>
      </c>
      <c r="O1" s="21"/>
      <c r="P1" s="21"/>
    </row>
    <row r="2" ht="22" customHeight="1" spans="7:16" x14ac:dyDescent="0.25">
      <c r="G2" s="19" t="s">
        <v>65</v>
      </c>
      <c r="H2" s="19" t="s">
        <v>66</v>
      </c>
      <c r="I2" s="19"/>
      <c r="J2" s="20" t="s">
        <v>65</v>
      </c>
      <c r="K2" s="20" t="s">
        <v>66</v>
      </c>
      <c r="L2" s="20"/>
      <c r="M2" s="20"/>
      <c r="N2" s="21" t="s">
        <v>65</v>
      </c>
      <c r="O2" s="21" t="s">
        <v>66</v>
      </c>
      <c r="P2" s="21"/>
    </row>
    <row r="3" ht="55" customHeight="1" spans="1:16" x14ac:dyDescent="0.25">
      <c r="A3" s="6" t="s">
        <v>67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  <c r="I3" s="6" t="s">
        <v>75</v>
      </c>
      <c r="J3" s="6" t="s">
        <v>73</v>
      </c>
      <c r="K3" s="6" t="s">
        <v>76</v>
      </c>
      <c r="L3" s="6" t="s">
        <v>77</v>
      </c>
      <c r="M3" s="6" t="s">
        <v>78</v>
      </c>
      <c r="N3" s="6" t="s">
        <v>73</v>
      </c>
      <c r="O3" s="6" t="s">
        <v>79</v>
      </c>
      <c r="P3" s="6" t="s">
        <v>78</v>
      </c>
    </row>
    <row r="4" ht="22" customHeight="1" spans="1:16" x14ac:dyDescent="0.25">
      <c r="A4" s="22"/>
      <c r="B4" s="22"/>
      <c r="C4" s="22"/>
      <c r="D4" s="23"/>
      <c r="E4" s="22"/>
      <c r="F4" s="22"/>
      <c r="G4" s="24"/>
      <c r="H4" s="24"/>
      <c r="I4" s="24"/>
      <c r="J4" s="25"/>
      <c r="K4" s="25"/>
      <c r="L4" s="25"/>
      <c r="M4" s="25"/>
      <c r="N4" s="26">
        <f>IF(OR(G4=0,G4="",J4=""),"",J4/G4)</f>
      </c>
      <c r="O4" s="26">
        <f>IF(OR(H4=0,H4="",K4=""),"",IF((K4/H4)&gt;=1,K4/H4,MIN(1,(K4/H4)+((L4/H4)*1))))</f>
      </c>
      <c r="P4" s="26">
        <f>IF(OR(I4=0,I4="",M4=""),"",M4/I4)</f>
      </c>
    </row>
    <row r="5" ht="22" customHeight="1" spans="1:16" x14ac:dyDescent="0.25">
      <c r="A5" s="22"/>
      <c r="B5" s="22"/>
      <c r="C5" s="22"/>
      <c r="D5" s="23"/>
      <c r="E5" s="22"/>
      <c r="F5" s="22"/>
      <c r="G5" s="24"/>
      <c r="H5" s="24"/>
      <c r="I5" s="24"/>
      <c r="J5" s="25"/>
      <c r="K5" s="25"/>
      <c r="L5" s="25"/>
      <c r="M5" s="25"/>
      <c r="N5" s="26">
        <f>IF(OR(G5=0,G5="",J5=""),"",J5/G5)</f>
      </c>
      <c r="O5" s="26">
        <f>IF(OR(H5=0,H5="",K5=""),"",IF((K5/H5)&gt;=1,K5/H5,MIN(1,(K5/H5)+((L5/H5)*1))))</f>
      </c>
      <c r="P5" s="26">
        <f>IF(OR(I5=0,I5="",M5=""),"",M5/I5)</f>
      </c>
    </row>
    <row r="6" ht="22" customHeight="1" spans="1:16" x14ac:dyDescent="0.25">
      <c r="A6" s="22"/>
      <c r="B6" s="22"/>
      <c r="C6" s="22"/>
      <c r="D6" s="23"/>
      <c r="E6" s="22"/>
      <c r="F6" s="22"/>
      <c r="G6" s="24"/>
      <c r="H6" s="24"/>
      <c r="I6" s="24"/>
      <c r="J6" s="25"/>
      <c r="K6" s="25"/>
      <c r="L6" s="25"/>
      <c r="M6" s="25"/>
      <c r="N6" s="26">
        <f>IF(OR(G6=0,G6="",J6=""),"",J6/G6)</f>
      </c>
      <c r="O6" s="26">
        <f>IF(OR(H6=0,H6="",K6=""),"",IF((K6/H6)&gt;=1,K6/H6,MIN(1,(K6/H6)+((L6/H6)*1))))</f>
      </c>
      <c r="P6" s="26">
        <f>IF(OR(I6=0,I6="",M6=""),"",M6/I6)</f>
      </c>
    </row>
    <row r="7" ht="22" customHeight="1" spans="1:16" x14ac:dyDescent="0.25">
      <c r="A7" s="22"/>
      <c r="B7" s="22"/>
      <c r="C7" s="22"/>
      <c r="D7" s="23"/>
      <c r="E7" s="22"/>
      <c r="F7" s="22"/>
      <c r="G7" s="24"/>
      <c r="H7" s="24"/>
      <c r="I7" s="24"/>
      <c r="J7" s="25"/>
      <c r="K7" s="25"/>
      <c r="L7" s="25"/>
      <c r="M7" s="25"/>
      <c r="N7" s="26">
        <f>IF(OR(G7=0,G7="",J7=""),"",J7/G7)</f>
      </c>
      <c r="O7" s="26">
        <f>IF(OR(H7=0,H7="",K7=""),"",IF((K7/H7)&gt;=1,K7/H7,MIN(1,(K7/H7)+((L7/H7)*1))))</f>
      </c>
      <c r="P7" s="26">
        <f>IF(OR(I7=0,I7="",M7=""),"",M7/I7)</f>
      </c>
    </row>
    <row r="8" ht="22" customHeight="1" spans="1:16" x14ac:dyDescent="0.25">
      <c r="A8" s="22"/>
      <c r="B8" s="22"/>
      <c r="C8" s="22"/>
      <c r="D8" s="23"/>
      <c r="E8" s="22"/>
      <c r="F8" s="22"/>
      <c r="G8" s="24"/>
      <c r="H8" s="24"/>
      <c r="I8" s="24"/>
      <c r="J8" s="25"/>
      <c r="K8" s="25"/>
      <c r="L8" s="25"/>
      <c r="M8" s="25"/>
      <c r="N8" s="26">
        <f>IF(OR(G8=0,G8="",J8=""),"",J8/G8)</f>
      </c>
      <c r="O8" s="26">
        <f>IF(OR(H8=0,H8="",K8=""),"",IF((K8/H8)&gt;=1,K8/H8,MIN(1,(K8/H8)+((L8/H8)*1))))</f>
      </c>
      <c r="P8" s="26">
        <f>IF(OR(I8=0,I8="",M8=""),"",M8/I8)</f>
      </c>
    </row>
    <row r="9" ht="22" customHeight="1" spans="1:16" x14ac:dyDescent="0.25">
      <c r="A9" s="22"/>
      <c r="B9" s="22"/>
      <c r="C9" s="22"/>
      <c r="D9" s="23"/>
      <c r="E9" s="22"/>
      <c r="F9" s="22"/>
      <c r="G9" s="24"/>
      <c r="H9" s="24"/>
      <c r="I9" s="24"/>
      <c r="J9" s="25"/>
      <c r="K9" s="25"/>
      <c r="L9" s="25"/>
      <c r="M9" s="25"/>
      <c r="N9" s="26">
        <f>IF(OR(G9=0,G9="",J9=""),"",J9/G9)</f>
      </c>
      <c r="O9" s="26">
        <f>IF(OR(H9=0,H9="",K9=""),"",IF((K9/H9)&gt;=1,K9/H9,MIN(1,(K9/H9)+((L9/H9)*1))))</f>
      </c>
      <c r="P9" s="26">
        <f>IF(OR(I9=0,I9="",M9=""),"",M9/I9)</f>
      </c>
    </row>
    <row r="10" ht="22" customHeight="1" spans="1:16" x14ac:dyDescent="0.25">
      <c r="A10" s="22"/>
      <c r="B10" s="22"/>
      <c r="C10" s="22"/>
      <c r="D10" s="23"/>
      <c r="E10" s="22"/>
      <c r="F10" s="22"/>
      <c r="G10" s="24"/>
      <c r="H10" s="24"/>
      <c r="I10" s="24"/>
      <c r="J10" s="25"/>
      <c r="K10" s="25"/>
      <c r="L10" s="25"/>
      <c r="M10" s="25"/>
      <c r="N10" s="26">
        <f>IF(OR(G10=0,G10="",J10=""),"",J10/G10)</f>
      </c>
      <c r="O10" s="26">
        <f>IF(OR(H10=0,H10="",K10=""),"",IF((K10/H10)&gt;=1,K10/H10,MIN(1,(K10/H10)+((L10/H10)*1))))</f>
      </c>
      <c r="P10" s="26">
        <f>IF(OR(I10=0,I10="",M10=""),"",M10/I10)</f>
      </c>
    </row>
    <row r="11" ht="22" customHeight="1" spans="1:16" x14ac:dyDescent="0.25">
      <c r="A11" s="22"/>
      <c r="B11" s="22"/>
      <c r="C11" s="22"/>
      <c r="D11" s="23"/>
      <c r="E11" s="22"/>
      <c r="F11" s="22"/>
      <c r="G11" s="24"/>
      <c r="H11" s="24"/>
      <c r="I11" s="24"/>
      <c r="J11" s="25"/>
      <c r="K11" s="25"/>
      <c r="L11" s="25"/>
      <c r="M11" s="25"/>
      <c r="N11" s="26">
        <f>IF(OR(G11=0,G11="",J11=""),"",J11/G11)</f>
      </c>
      <c r="O11" s="26">
        <f>IF(OR(H11=0,H11="",K11=""),"",IF((K11/H11)&gt;=1,K11/H11,MIN(1,(K11/H11)+((L11/H11)*1))))</f>
      </c>
      <c r="P11" s="26">
        <f>IF(OR(I11=0,I11="",M11=""),"",M11/I11)</f>
      </c>
    </row>
    <row r="12" ht="22" customHeight="1" spans="1:16" x14ac:dyDescent="0.25">
      <c r="A12" s="22"/>
      <c r="B12" s="22"/>
      <c r="C12" s="22"/>
      <c r="D12" s="23"/>
      <c r="E12" s="22"/>
      <c r="F12" s="22"/>
      <c r="G12" s="24"/>
      <c r="H12" s="24"/>
      <c r="I12" s="24"/>
      <c r="J12" s="25"/>
      <c r="K12" s="25"/>
      <c r="L12" s="25"/>
      <c r="M12" s="25"/>
      <c r="N12" s="26">
        <f>IF(OR(G12=0,G12="",J12=""),"",J12/G12)</f>
      </c>
      <c r="O12" s="26">
        <f>IF(OR(H12=0,H12="",K12=""),"",IF((K12/H12)&gt;=1,K12/H12,MIN(1,(K12/H12)+((L12/H12)*1))))</f>
      </c>
      <c r="P12" s="26">
        <f>IF(OR(I12=0,I12="",M12=""),"",M12/I12)</f>
      </c>
    </row>
    <row r="13" ht="22" customHeight="1" spans="1:16" x14ac:dyDescent="0.25">
      <c r="A13" s="22"/>
      <c r="B13" s="22"/>
      <c r="C13" s="22"/>
      <c r="D13" s="23"/>
      <c r="E13" s="22"/>
      <c r="F13" s="22"/>
      <c r="G13" s="24"/>
      <c r="H13" s="24"/>
      <c r="I13" s="24"/>
      <c r="J13" s="25"/>
      <c r="K13" s="25"/>
      <c r="L13" s="25"/>
      <c r="M13" s="25"/>
      <c r="N13" s="26">
        <f>IF(OR(G13=0,G13="",J13=""),"",J13/G13)</f>
      </c>
      <c r="O13" s="26">
        <f>IF(OR(H13=0,H13="",K13=""),"",IF((K13/H13)&gt;=1,K13/H13,MIN(1,(K13/H13)+((L13/H13)*1))))</f>
      </c>
      <c r="P13" s="26">
        <f>IF(OR(I13=0,I13="",M13=""),"",M13/I13)</f>
      </c>
    </row>
    <row r="14" ht="22" customHeight="1" spans="1:16" x14ac:dyDescent="0.25">
      <c r="A14" s="22"/>
      <c r="B14" s="22"/>
      <c r="C14" s="22"/>
      <c r="D14" s="23"/>
      <c r="E14" s="22"/>
      <c r="F14" s="22"/>
      <c r="G14" s="24"/>
      <c r="H14" s="24"/>
      <c r="I14" s="24"/>
      <c r="J14" s="25"/>
      <c r="K14" s="25"/>
      <c r="L14" s="25"/>
      <c r="M14" s="25"/>
      <c r="N14" s="26">
        <f>IF(OR(G14=0,G14="",J14=""),"",J14/G14)</f>
      </c>
      <c r="O14" s="26">
        <f>IF(OR(H14=0,H14="",K14=""),"",IF((K14/H14)&gt;=1,K14/H14,MIN(1,(K14/H14)+((L14/H14)*1))))</f>
      </c>
      <c r="P14" s="26">
        <f>IF(OR(I14=0,I14="",M14=""),"",M14/I14)</f>
      </c>
    </row>
    <row r="15" ht="22" customHeight="1" spans="1:16" x14ac:dyDescent="0.25">
      <c r="A15" s="22"/>
      <c r="B15" s="22"/>
      <c r="C15" s="22"/>
      <c r="D15" s="23"/>
      <c r="E15" s="22"/>
      <c r="F15" s="22"/>
      <c r="G15" s="24"/>
      <c r="H15" s="24"/>
      <c r="I15" s="24"/>
      <c r="J15" s="25"/>
      <c r="K15" s="25"/>
      <c r="L15" s="25"/>
      <c r="M15" s="25"/>
      <c r="N15" s="26">
        <f>IF(OR(G15=0,G15="",J15=""),"",J15/G15)</f>
      </c>
      <c r="O15" s="26">
        <f>IF(OR(H15=0,H15="",K15=""),"",IF((K15/H15)&gt;=1,K15/H15,MIN(1,(K15/H15)+((L15/H15)*1))))</f>
      </c>
      <c r="P15" s="26">
        <f>IF(OR(I15=0,I15="",M15=""),"",M15/I15)</f>
      </c>
    </row>
    <row r="16" ht="22" customHeight="1" spans="1:16" x14ac:dyDescent="0.25">
      <c r="A16" s="22"/>
      <c r="B16" s="22"/>
      <c r="C16" s="22"/>
      <c r="D16" s="23"/>
      <c r="E16" s="22"/>
      <c r="F16" s="22"/>
      <c r="G16" s="24"/>
      <c r="H16" s="24"/>
      <c r="I16" s="24"/>
      <c r="J16" s="25"/>
      <c r="K16" s="25"/>
      <c r="L16" s="25"/>
      <c r="M16" s="25"/>
      <c r="N16" s="26">
        <f>IF(OR(G16=0,G16="",J16=""),"",J16/G16)</f>
      </c>
      <c r="O16" s="26">
        <f>IF(OR(H16=0,H16="",K16=""),"",IF((K16/H16)&gt;=1,K16/H16,MIN(1,(K16/H16)+((L16/H16)*1))))</f>
      </c>
      <c r="P16" s="26">
        <f>IF(OR(I16=0,I16="",M16=""),"",M16/I16)</f>
      </c>
    </row>
    <row r="17" ht="22" customHeight="1" spans="1:16" x14ac:dyDescent="0.25">
      <c r="A17" s="22"/>
      <c r="B17" s="22"/>
      <c r="C17" s="22"/>
      <c r="D17" s="23"/>
      <c r="E17" s="22"/>
      <c r="F17" s="22"/>
      <c r="G17" s="24"/>
      <c r="H17" s="24"/>
      <c r="I17" s="24"/>
      <c r="J17" s="25"/>
      <c r="K17" s="25"/>
      <c r="L17" s="25"/>
      <c r="M17" s="25"/>
      <c r="N17" s="26">
        <f>IF(OR(G17=0,G17="",J17=""),"",J17/G17)</f>
      </c>
      <c r="O17" s="26">
        <f>IF(OR(H17=0,H17="",K17=""),"",IF((K17/H17)&gt;=1,K17/H17,MIN(1,(K17/H17)+((L17/H17)*1))))</f>
      </c>
      <c r="P17" s="26">
        <f>IF(OR(I17=0,I17="",M17=""),"",M17/I17)</f>
      </c>
    </row>
    <row r="18" ht="22" customHeight="1" spans="1:16" x14ac:dyDescent="0.25">
      <c r="A18" s="22"/>
      <c r="B18" s="22"/>
      <c r="C18" s="22"/>
      <c r="D18" s="23"/>
      <c r="E18" s="22"/>
      <c r="F18" s="22"/>
      <c r="G18" s="24"/>
      <c r="H18" s="24"/>
      <c r="I18" s="24"/>
      <c r="J18" s="25"/>
      <c r="K18" s="25"/>
      <c r="L18" s="25"/>
      <c r="M18" s="25"/>
      <c r="N18" s="26">
        <f>IF(OR(G18=0,G18="",J18=""),"",J18/G18)</f>
      </c>
      <c r="O18" s="26">
        <f>IF(OR(H18=0,H18="",K18=""),"",IF((K18/H18)&gt;=1,K18/H18,MIN(1,(K18/H18)+((L18/H18)*1))))</f>
      </c>
      <c r="P18" s="26">
        <f>IF(OR(I18=0,I18="",M18=""),"",M18/I18)</f>
      </c>
    </row>
    <row r="19" ht="22" customHeight="1" spans="1:16" x14ac:dyDescent="0.25">
      <c r="A19" s="22"/>
      <c r="B19" s="22"/>
      <c r="C19" s="22"/>
      <c r="D19" s="23"/>
      <c r="E19" s="22"/>
      <c r="F19" s="22"/>
      <c r="G19" s="24"/>
      <c r="H19" s="24"/>
      <c r="I19" s="24"/>
      <c r="J19" s="25"/>
      <c r="K19" s="25"/>
      <c r="L19" s="25"/>
      <c r="M19" s="25"/>
      <c r="N19" s="26">
        <f>IF(OR(G19=0,G19="",J19=""),"",J19/G19)</f>
      </c>
      <c r="O19" s="26">
        <f>IF(OR(H19=0,H19="",K19=""),"",IF((K19/H19)&gt;=1,K19/H19,MIN(1,(K19/H19)+((L19/H19)*1))))</f>
      </c>
      <c r="P19" s="26">
        <f>IF(OR(I19=0,I19="",M19=""),"",M19/I19)</f>
      </c>
    </row>
    <row r="20" ht="22" customHeight="1" spans="1:16" x14ac:dyDescent="0.25">
      <c r="A20" s="22"/>
      <c r="B20" s="22"/>
      <c r="C20" s="22"/>
      <c r="D20" s="23"/>
      <c r="E20" s="22"/>
      <c r="F20" s="22"/>
      <c r="G20" s="24"/>
      <c r="H20" s="24"/>
      <c r="I20" s="24"/>
      <c r="J20" s="25"/>
      <c r="K20" s="25"/>
      <c r="L20" s="25"/>
      <c r="M20" s="25"/>
      <c r="N20" s="26">
        <f>IF(OR(G20=0,G20="",J20=""),"",J20/G20)</f>
      </c>
      <c r="O20" s="26">
        <f>IF(OR(H20=0,H20="",K20=""),"",IF((K20/H20)&gt;=1,K20/H20,MIN(1,(K20/H20)+((L20/H20)*1))))</f>
      </c>
      <c r="P20" s="26">
        <f>IF(OR(I20=0,I20="",M20=""),"",M20/I20)</f>
      </c>
    </row>
    <row r="21" ht="22" customHeight="1" spans="1:16" x14ac:dyDescent="0.25">
      <c r="A21" s="22"/>
      <c r="B21" s="22"/>
      <c r="C21" s="22"/>
      <c r="D21" s="23"/>
      <c r="E21" s="22"/>
      <c r="F21" s="22"/>
      <c r="G21" s="24"/>
      <c r="H21" s="24"/>
      <c r="I21" s="24"/>
      <c r="J21" s="25"/>
      <c r="K21" s="25"/>
      <c r="L21" s="25"/>
      <c r="M21" s="25"/>
      <c r="N21" s="26">
        <f>IF(OR(G21=0,G21="",J21=""),"",J21/G21)</f>
      </c>
      <c r="O21" s="26">
        <f>IF(OR(H21=0,H21="",K21=""),"",IF((K21/H21)&gt;=1,K21/H21,MIN(1,(K21/H21)+((L21/H21)*1))))</f>
      </c>
      <c r="P21" s="26">
        <f>IF(OR(I21=0,I21="",M21=""),"",M21/I21)</f>
      </c>
    </row>
    <row r="22" ht="22" customHeight="1" spans="1:16" x14ac:dyDescent="0.25">
      <c r="A22" s="22"/>
      <c r="B22" s="22"/>
      <c r="C22" s="22"/>
      <c r="D22" s="23"/>
      <c r="E22" s="22"/>
      <c r="F22" s="22"/>
      <c r="G22" s="24"/>
      <c r="H22" s="24"/>
      <c r="I22" s="24"/>
      <c r="J22" s="25"/>
      <c r="K22" s="25"/>
      <c r="L22" s="25"/>
      <c r="M22" s="25"/>
      <c r="N22" s="26">
        <f>IF(OR(G22=0,G22="",J22=""),"",J22/G22)</f>
      </c>
      <c r="O22" s="26">
        <f>IF(OR(H22=0,H22="",K22=""),"",IF((K22/H22)&gt;=1,K22/H22,MIN(1,(K22/H22)+((L22/H22)*1))))</f>
      </c>
      <c r="P22" s="26">
        <f>IF(OR(I22=0,I22="",M22=""),"",M22/I22)</f>
      </c>
    </row>
    <row r="23" ht="22" customHeight="1" spans="1:16" x14ac:dyDescent="0.25">
      <c r="A23" s="22"/>
      <c r="B23" s="22"/>
      <c r="C23" s="22"/>
      <c r="D23" s="23"/>
      <c r="E23" s="22"/>
      <c r="F23" s="22"/>
      <c r="G23" s="24"/>
      <c r="H23" s="24"/>
      <c r="I23" s="24"/>
      <c r="J23" s="25"/>
      <c r="K23" s="25"/>
      <c r="L23" s="25"/>
      <c r="M23" s="25"/>
      <c r="N23" s="26">
        <f>IF(OR(G23=0,G23="",J23=""),"",J23/G23)</f>
      </c>
      <c r="O23" s="26">
        <f>IF(OR(H23=0,H23="",K23=""),"",IF((K23/H23)&gt;=1,K23/H23,MIN(1,(K23/H23)+((L23/H23)*1))))</f>
      </c>
      <c r="P23" s="26">
        <f>IF(OR(I23=0,I23="",M23=""),"",M23/I23)</f>
      </c>
    </row>
    <row r="24" ht="22" customHeight="1" spans="1:16" x14ac:dyDescent="0.25">
      <c r="A24" s="22"/>
      <c r="B24" s="22"/>
      <c r="C24" s="22"/>
      <c r="D24" s="23"/>
      <c r="E24" s="22"/>
      <c r="F24" s="22"/>
      <c r="G24" s="24"/>
      <c r="H24" s="24"/>
      <c r="I24" s="24"/>
      <c r="J24" s="25"/>
      <c r="K24" s="25"/>
      <c r="L24" s="25"/>
      <c r="M24" s="25"/>
      <c r="N24" s="26">
        <f>IF(OR(G24=0,G24="",J24=""),"",J24/G24)</f>
      </c>
      <c r="O24" s="26">
        <f>IF(OR(H24=0,H24="",K24=""),"",IF((K24/H24)&gt;=1,K24/H24,MIN(1,(K24/H24)+((L24/H24)*1))))</f>
      </c>
      <c r="P24" s="26">
        <f>IF(OR(I24=0,I24="",M24=""),"",M24/I24)</f>
      </c>
    </row>
    <row r="25" ht="22" customHeight="1" spans="1:16" x14ac:dyDescent="0.25">
      <c r="A25" s="22"/>
      <c r="B25" s="22"/>
      <c r="C25" s="22"/>
      <c r="D25" s="23"/>
      <c r="E25" s="22"/>
      <c r="F25" s="22"/>
      <c r="G25" s="24"/>
      <c r="H25" s="24"/>
      <c r="I25" s="24"/>
      <c r="J25" s="25"/>
      <c r="K25" s="25"/>
      <c r="L25" s="25"/>
      <c r="M25" s="25"/>
      <c r="N25" s="26">
        <f>IF(OR(G25=0,G25="",J25=""),"",J25/G25)</f>
      </c>
      <c r="O25" s="26">
        <f>IF(OR(H25=0,H25="",K25=""),"",IF((K25/H25)&gt;=1,K25/H25,MIN(1,(K25/H25)+((L25/H25)*1))))</f>
      </c>
      <c r="P25" s="26">
        <f>IF(OR(I25=0,I25="",M25=""),"",M25/I25)</f>
      </c>
    </row>
    <row r="26" ht="22" customHeight="1" spans="1:16" x14ac:dyDescent="0.25">
      <c r="A26" s="22"/>
      <c r="B26" s="22"/>
      <c r="C26" s="22"/>
      <c r="D26" s="23"/>
      <c r="E26" s="22"/>
      <c r="F26" s="22"/>
      <c r="G26" s="24"/>
      <c r="H26" s="24"/>
      <c r="I26" s="24"/>
      <c r="J26" s="25"/>
      <c r="K26" s="25"/>
      <c r="L26" s="25"/>
      <c r="M26" s="25"/>
      <c r="N26" s="26">
        <f>IF(OR(G26=0,G26="",J26=""),"",J26/G26)</f>
      </c>
      <c r="O26" s="26">
        <f>IF(OR(H26=0,H26="",K26=""),"",IF((K26/H26)&gt;=1,K26/H26,MIN(1,(K26/H26)+((L26/H26)*1))))</f>
      </c>
      <c r="P26" s="26">
        <f>IF(OR(I26=0,I26="",M26=""),"",M26/I26)</f>
      </c>
    </row>
    <row r="27" ht="22" customHeight="1" spans="1:16" x14ac:dyDescent="0.25">
      <c r="A27" s="22"/>
      <c r="B27" s="22"/>
      <c r="C27" s="22"/>
      <c r="D27" s="23"/>
      <c r="E27" s="22"/>
      <c r="F27" s="22"/>
      <c r="G27" s="24"/>
      <c r="H27" s="24"/>
      <c r="I27" s="24"/>
      <c r="J27" s="25"/>
      <c r="K27" s="25"/>
      <c r="L27" s="25"/>
      <c r="M27" s="25"/>
      <c r="N27" s="26">
        <f>IF(OR(G27=0,G27="",J27=""),"",J27/G27)</f>
      </c>
      <c r="O27" s="26">
        <f>IF(OR(H27=0,H27="",K27=""),"",IF((K27/H27)&gt;=1,K27/H27,MIN(1,(K27/H27)+((L27/H27)*1))))</f>
      </c>
      <c r="P27" s="26">
        <f>IF(OR(I27=0,I27="",M27=""),"",M27/I27)</f>
      </c>
    </row>
    <row r="28" ht="22" customHeight="1" spans="1:16" x14ac:dyDescent="0.25">
      <c r="A28" s="22"/>
      <c r="B28" s="22"/>
      <c r="C28" s="22"/>
      <c r="D28" s="23"/>
      <c r="E28" s="22"/>
      <c r="F28" s="22"/>
      <c r="G28" s="24"/>
      <c r="H28" s="24"/>
      <c r="I28" s="24"/>
      <c r="J28" s="25"/>
      <c r="K28" s="25"/>
      <c r="L28" s="25"/>
      <c r="M28" s="25"/>
      <c r="N28" s="26">
        <f>IF(OR(G28=0,G28="",J28=""),"",J28/G28)</f>
      </c>
      <c r="O28" s="26">
        <f>IF(OR(H28=0,H28="",K28=""),"",IF((K28/H28)&gt;=1,K28/H28,MIN(1,(K28/H28)+((L28/H28)*1))))</f>
      </c>
      <c r="P28" s="26">
        <f>IF(OR(I28=0,I28="",M28=""),"",M28/I28)</f>
      </c>
    </row>
    <row r="29" ht="22" customHeight="1" spans="1:16" x14ac:dyDescent="0.25">
      <c r="A29" s="22"/>
      <c r="B29" s="22"/>
      <c r="C29" s="22"/>
      <c r="D29" s="23"/>
      <c r="E29" s="22"/>
      <c r="F29" s="22"/>
      <c r="G29" s="24"/>
      <c r="H29" s="24"/>
      <c r="I29" s="24"/>
      <c r="J29" s="25"/>
      <c r="K29" s="25"/>
      <c r="L29" s="25"/>
      <c r="M29" s="25"/>
      <c r="N29" s="26">
        <f>IF(OR(G29=0,G29="",J29=""),"",J29/G29)</f>
      </c>
      <c r="O29" s="26">
        <f>IF(OR(H29=0,H29="",K29=""),"",IF((K29/H29)&gt;=1,K29/H29,MIN(1,(K29/H29)+((L29/H29)*1))))</f>
      </c>
      <c r="P29" s="26">
        <f>IF(OR(I29=0,I29="",M29=""),"",M29/I29)</f>
      </c>
    </row>
    <row r="30" ht="22" customHeight="1" spans="1:16" x14ac:dyDescent="0.25">
      <c r="A30" s="22"/>
      <c r="B30" s="22"/>
      <c r="C30" s="22"/>
      <c r="D30" s="23"/>
      <c r="E30" s="22"/>
      <c r="F30" s="22"/>
      <c r="G30" s="24"/>
      <c r="H30" s="24"/>
      <c r="I30" s="24"/>
      <c r="J30" s="25"/>
      <c r="K30" s="25"/>
      <c r="L30" s="25"/>
      <c r="M30" s="25"/>
      <c r="N30" s="26">
        <f>IF(OR(G30=0,G30="",J30=""),"",J30/G30)</f>
      </c>
      <c r="O30" s="26">
        <f>IF(OR(H30=0,H30="",K30=""),"",IF((K30/H30)&gt;=1,K30/H30,MIN(1,(K30/H30)+((L30/H30)*1))))</f>
      </c>
      <c r="P30" s="26">
        <f>IF(OR(I30=0,I30="",M30=""),"",M30/I30)</f>
      </c>
    </row>
    <row r="31" ht="22" customHeight="1" spans="1:16" x14ac:dyDescent="0.25">
      <c r="A31" s="22"/>
      <c r="B31" s="22"/>
      <c r="C31" s="22"/>
      <c r="D31" s="23"/>
      <c r="E31" s="22"/>
      <c r="F31" s="22"/>
      <c r="G31" s="24"/>
      <c r="H31" s="24"/>
      <c r="I31" s="24"/>
      <c r="J31" s="25"/>
      <c r="K31" s="25"/>
      <c r="L31" s="25"/>
      <c r="M31" s="25"/>
      <c r="N31" s="26">
        <f>IF(OR(G31=0,G31="",J31=""),"",J31/G31)</f>
      </c>
      <c r="O31" s="26">
        <f>IF(OR(H31=0,H31="",K31=""),"",IF((K31/H31)&gt;=1,K31/H31,MIN(1,(K31/H31)+((L31/H31)*1))))</f>
      </c>
      <c r="P31" s="26">
        <f>IF(OR(I31=0,I31="",M31=""),"",M31/I31)</f>
      </c>
    </row>
    <row r="32" ht="22" customHeight="1" spans="1:16" x14ac:dyDescent="0.25">
      <c r="A32" s="22"/>
      <c r="B32" s="22"/>
      <c r="C32" s="22"/>
      <c r="D32" s="23"/>
      <c r="E32" s="22"/>
      <c r="F32" s="22"/>
      <c r="G32" s="24"/>
      <c r="H32" s="24"/>
      <c r="I32" s="24"/>
      <c r="J32" s="25"/>
      <c r="K32" s="25"/>
      <c r="L32" s="25"/>
      <c r="M32" s="25"/>
      <c r="N32" s="26">
        <f>IF(OR(G32=0,G32="",J32=""),"",J32/G32)</f>
      </c>
      <c r="O32" s="26">
        <f>IF(OR(H32=0,H32="",K32=""),"",IF((K32/H32)&gt;=1,K32/H32,MIN(1,(K32/H32)+((L32/H32)*1))))</f>
      </c>
      <c r="P32" s="26">
        <f>IF(OR(I32=0,I32="",M32=""),"",M32/I32)</f>
      </c>
    </row>
    <row r="33" ht="22" customHeight="1" spans="1:16" x14ac:dyDescent="0.25">
      <c r="A33" s="22"/>
      <c r="B33" s="22"/>
      <c r="C33" s="22"/>
      <c r="D33" s="23"/>
      <c r="E33" s="22"/>
      <c r="F33" s="22"/>
      <c r="G33" s="24"/>
      <c r="H33" s="24"/>
      <c r="I33" s="24"/>
      <c r="J33" s="25"/>
      <c r="K33" s="25"/>
      <c r="L33" s="25"/>
      <c r="M33" s="25"/>
      <c r="N33" s="26">
        <f>IF(OR(G33=0,G33="",J33=""),"",J33/G33)</f>
      </c>
      <c r="O33" s="26">
        <f>IF(OR(H33=0,H33="",K33=""),"",IF((K33/H33)&gt;=1,K33/H33,MIN(1,(K33/H33)+((L33/H33)*1))))</f>
      </c>
      <c r="P33" s="26">
        <f>IF(OR(I33=0,I33="",M33=""),"",M33/I33)</f>
      </c>
    </row>
    <row r="35" spans="1:10" x14ac:dyDescent="0.25">
      <c r="A35" s="2" t="s">
        <v>80</v>
      </c>
      <c r="B35" s="27" t="s">
        <v>81</v>
      </c>
      <c r="D35" s="28" t="s">
        <v>82</v>
      </c>
      <c r="G35" s="5" t="s">
        <v>83</v>
      </c>
      <c r="J35" s="29" t="s">
        <v>84</v>
      </c>
    </row>
  </sheetData>
  <sheetProtection sheet="1"/>
  <mergeCells count="6">
    <mergeCell ref="G1:I1"/>
    <mergeCell ref="J1:M1"/>
    <mergeCell ref="N1:P1"/>
    <mergeCell ref="H2:I2"/>
    <mergeCell ref="K2:M2"/>
    <mergeCell ref="O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50" customWidth="1"/>
    <col min="4" max="4" width="22" customWidth="1"/>
    <col min="5" max="5" width="5" customWidth="1"/>
    <col min="6" max="6" width="14" customWidth="1"/>
    <col min="7" max="7" width="16" customWidth="1"/>
    <col min="8" max="8" width="22" customWidth="1"/>
  </cols>
  <sheetData>
    <row r="1" spans="1:8" x14ac:dyDescent="0.25">
      <c r="A1" s="1" t="s">
        <v>85</v>
      </c>
      <c r="B1" s="1"/>
      <c r="C1" s="1"/>
      <c r="D1" s="1"/>
      <c r="F1" s="2" t="s">
        <v>86</v>
      </c>
      <c r="G1" s="2" t="s">
        <v>87</v>
      </c>
      <c r="H1" s="2" t="s">
        <v>88</v>
      </c>
    </row>
    <row r="2" ht="25" customHeight="1" spans="1:8" x14ac:dyDescent="0.25">
      <c r="A2" s="6" t="s">
        <v>12</v>
      </c>
      <c r="B2" s="6" t="s">
        <v>89</v>
      </c>
      <c r="C2" s="6" t="s">
        <v>90</v>
      </c>
      <c r="D2" s="6" t="s">
        <v>88</v>
      </c>
      <c r="E2" s="6" t="s">
        <v>3</v>
      </c>
      <c r="F2" s="6" t="s">
        <v>3</v>
      </c>
      <c r="G2" s="6" t="s">
        <v>3</v>
      </c>
      <c r="H2" s="6" t="s">
        <v>3</v>
      </c>
    </row>
    <row r="3" ht="20" customHeight="1" spans="1:8" x14ac:dyDescent="0.25">
      <c r="A3" s="30">
        <v>1</v>
      </c>
      <c r="B3" s="22"/>
      <c r="C3" s="23"/>
      <c r="D3" s="22"/>
      <c r="E3" s="22"/>
      <c r="F3" s="22"/>
      <c r="G3" s="22"/>
      <c r="H3" s="22"/>
    </row>
    <row r="4" ht="20" customHeight="1" spans="1:8" x14ac:dyDescent="0.25">
      <c r="A4" s="30">
        <v>2</v>
      </c>
      <c r="B4" s="22"/>
      <c r="C4" s="23"/>
      <c r="D4" s="22"/>
      <c r="E4" s="22"/>
      <c r="F4" s="22"/>
      <c r="G4" s="22"/>
      <c r="H4" s="22"/>
    </row>
    <row r="5" ht="20" customHeight="1" spans="1:8" x14ac:dyDescent="0.25">
      <c r="A5" s="30">
        <v>3</v>
      </c>
      <c r="B5" s="22"/>
      <c r="C5" s="23"/>
      <c r="D5" s="22"/>
      <c r="E5" s="22"/>
      <c r="F5" s="22"/>
      <c r="G5" s="22"/>
      <c r="H5" s="22"/>
    </row>
    <row r="6" ht="20" customHeight="1" spans="1:8" x14ac:dyDescent="0.25">
      <c r="A6" s="30">
        <v>4</v>
      </c>
      <c r="B6" s="22"/>
      <c r="C6" s="23"/>
      <c r="D6" s="22"/>
      <c r="E6" s="22"/>
      <c r="F6" s="22"/>
      <c r="G6" s="22"/>
      <c r="H6" s="22"/>
    </row>
    <row r="7" ht="20" customHeight="1" spans="1:8" x14ac:dyDescent="0.25">
      <c r="A7" s="30">
        <v>5</v>
      </c>
      <c r="B7" s="22"/>
      <c r="C7" s="23"/>
      <c r="D7" s="22"/>
      <c r="E7" s="22"/>
      <c r="F7" s="22"/>
      <c r="G7" s="22"/>
      <c r="H7" s="22"/>
    </row>
    <row r="8" ht="20" customHeight="1" spans="1:8" x14ac:dyDescent="0.25">
      <c r="A8" s="30">
        <v>6</v>
      </c>
      <c r="B8" s="22"/>
      <c r="C8" s="23"/>
      <c r="D8" s="22"/>
      <c r="E8" s="22"/>
      <c r="F8" s="22"/>
      <c r="G8" s="22"/>
      <c r="H8" s="22"/>
    </row>
    <row r="9" ht="20" customHeight="1" spans="1:8" x14ac:dyDescent="0.25">
      <c r="A9" s="30">
        <v>7</v>
      </c>
      <c r="B9" s="22"/>
      <c r="C9" s="23"/>
      <c r="D9" s="22"/>
      <c r="E9" s="22"/>
      <c r="F9" s="22"/>
      <c r="G9" s="22"/>
      <c r="H9" s="22"/>
    </row>
    <row r="10" ht="20" customHeight="1" spans="1:8" x14ac:dyDescent="0.25">
      <c r="A10" s="30">
        <v>8</v>
      </c>
      <c r="B10" s="22"/>
      <c r="C10" s="23"/>
      <c r="D10" s="22"/>
      <c r="E10" s="22"/>
      <c r="F10" s="22"/>
      <c r="G10" s="22"/>
      <c r="H10" s="22"/>
    </row>
    <row r="11" ht="20" customHeight="1" spans="1:8" x14ac:dyDescent="0.25">
      <c r="A11" s="30">
        <v>9</v>
      </c>
      <c r="B11" s="22"/>
      <c r="C11" s="23"/>
      <c r="D11" s="22"/>
      <c r="E11" s="22"/>
      <c r="F11" s="22"/>
      <c r="G11" s="22"/>
      <c r="H11" s="22"/>
    </row>
    <row r="12" ht="20" customHeight="1" spans="1:8" x14ac:dyDescent="0.25">
      <c r="A12" s="30">
        <v>10</v>
      </c>
      <c r="B12" s="22"/>
      <c r="C12" s="23"/>
      <c r="D12" s="22"/>
      <c r="E12" s="22"/>
      <c r="F12" s="22"/>
      <c r="G12" s="22"/>
      <c r="H12" s="22"/>
    </row>
    <row r="13" ht="20" customHeight="1" spans="1:8" x14ac:dyDescent="0.25">
      <c r="A13" s="30">
        <v>11</v>
      </c>
      <c r="B13" s="22"/>
      <c r="C13" s="23"/>
      <c r="D13" s="22"/>
      <c r="E13" s="22"/>
      <c r="F13" s="22"/>
      <c r="G13" s="22"/>
      <c r="H13" s="22"/>
    </row>
    <row r="14" ht="20" customHeight="1" spans="1:8" x14ac:dyDescent="0.25">
      <c r="A14" s="30">
        <v>12</v>
      </c>
      <c r="B14" s="22"/>
      <c r="C14" s="23"/>
      <c r="D14" s="22"/>
      <c r="E14" s="22"/>
      <c r="F14" s="22"/>
      <c r="G14" s="22"/>
      <c r="H14" s="22"/>
    </row>
    <row r="15" ht="20" customHeight="1" spans="1:8" x14ac:dyDescent="0.25">
      <c r="A15" s="30">
        <v>13</v>
      </c>
      <c r="B15" s="22"/>
      <c r="C15" s="23"/>
      <c r="D15" s="22"/>
      <c r="E15" s="22"/>
      <c r="F15" s="22"/>
      <c r="G15" s="22"/>
      <c r="H15" s="22"/>
    </row>
    <row r="16" ht="20" customHeight="1" spans="1:8" x14ac:dyDescent="0.25">
      <c r="A16" s="30">
        <v>14</v>
      </c>
      <c r="B16" s="22"/>
      <c r="C16" s="23"/>
      <c r="D16" s="22"/>
      <c r="E16" s="22"/>
      <c r="F16" s="22"/>
      <c r="G16" s="22"/>
      <c r="H16" s="22"/>
    </row>
    <row r="17" ht="20" customHeight="1" spans="1:8" x14ac:dyDescent="0.25">
      <c r="A17" s="30">
        <v>15</v>
      </c>
      <c r="B17" s="22"/>
      <c r="C17" s="23"/>
      <c r="D17" s="22"/>
      <c r="E17" s="22"/>
      <c r="F17" s="22"/>
      <c r="G17" s="22"/>
      <c r="H17" s="22"/>
    </row>
    <row r="18" ht="20" customHeight="1" spans="1:8" x14ac:dyDescent="0.25">
      <c r="A18" s="30">
        <v>16</v>
      </c>
      <c r="B18" s="22"/>
      <c r="C18" s="23"/>
      <c r="D18" s="22"/>
      <c r="E18" s="22"/>
      <c r="F18" s="22"/>
      <c r="G18" s="22"/>
      <c r="H18" s="22"/>
    </row>
    <row r="19" ht="20" customHeight="1" spans="1:8" x14ac:dyDescent="0.25">
      <c r="A19" s="30">
        <v>17</v>
      </c>
      <c r="B19" s="22"/>
      <c r="C19" s="23"/>
      <c r="D19" s="22"/>
      <c r="E19" s="22"/>
      <c r="F19" s="22"/>
      <c r="G19" s="22"/>
      <c r="H19" s="22"/>
    </row>
    <row r="20" ht="20" customHeight="1" spans="1:8" x14ac:dyDescent="0.25">
      <c r="A20" s="30">
        <v>18</v>
      </c>
      <c r="B20" s="22"/>
      <c r="C20" s="23"/>
      <c r="D20" s="22"/>
      <c r="E20" s="22"/>
      <c r="F20" s="22"/>
      <c r="G20" s="22"/>
      <c r="H20" s="22"/>
    </row>
    <row r="21" ht="20" customHeight="1" spans="1:8" x14ac:dyDescent="0.25">
      <c r="A21" s="30">
        <v>19</v>
      </c>
      <c r="B21" s="22"/>
      <c r="C21" s="23"/>
      <c r="D21" s="22"/>
      <c r="E21" s="22"/>
      <c r="F21" s="22"/>
      <c r="G21" s="22"/>
      <c r="H21" s="22"/>
    </row>
    <row r="22" ht="20" customHeight="1" spans="1:8" x14ac:dyDescent="0.25">
      <c r="A22" s="30">
        <v>20</v>
      </c>
      <c r="B22" s="22"/>
      <c r="C22" s="23"/>
      <c r="D22" s="22"/>
      <c r="E22" s="22"/>
      <c r="F22" s="22"/>
      <c r="G22" s="22"/>
      <c r="H22" s="22"/>
    </row>
    <row r="23" ht="20" customHeight="1" spans="1:8" x14ac:dyDescent="0.25">
      <c r="A23" s="30">
        <v>21</v>
      </c>
      <c r="B23" s="22"/>
      <c r="C23" s="23"/>
      <c r="D23" s="22"/>
      <c r="E23" s="22"/>
      <c r="F23" s="22"/>
      <c r="G23" s="22"/>
      <c r="H23" s="22"/>
    </row>
    <row r="24" ht="20" customHeight="1" spans="1:8" x14ac:dyDescent="0.25">
      <c r="A24" s="30">
        <v>22</v>
      </c>
      <c r="B24" s="22"/>
      <c r="C24" s="23"/>
      <c r="D24" s="22"/>
      <c r="E24" s="22"/>
      <c r="F24" s="22"/>
      <c r="G24" s="22"/>
      <c r="H24" s="22"/>
    </row>
    <row r="25" ht="20" customHeight="1" spans="1:8" x14ac:dyDescent="0.25">
      <c r="A25" s="30">
        <v>23</v>
      </c>
      <c r="B25" s="22"/>
      <c r="C25" s="23"/>
      <c r="D25" s="22"/>
      <c r="E25" s="22"/>
      <c r="F25" s="22"/>
      <c r="G25" s="22"/>
      <c r="H25" s="22"/>
    </row>
    <row r="26" ht="20" customHeight="1" spans="1:8" x14ac:dyDescent="0.25">
      <c r="A26" s="30">
        <v>24</v>
      </c>
      <c r="B26" s="22"/>
      <c r="C26" s="23"/>
      <c r="D26" s="22"/>
      <c r="E26" s="22"/>
      <c r="F26" s="22"/>
      <c r="G26" s="22"/>
      <c r="H26" s="22"/>
    </row>
    <row r="27" ht="20" customHeight="1" spans="1:8" x14ac:dyDescent="0.25">
      <c r="A27" s="30">
        <v>25</v>
      </c>
      <c r="B27" s="22"/>
      <c r="C27" s="23"/>
      <c r="D27" s="22"/>
      <c r="E27" s="22"/>
      <c r="F27" s="22"/>
      <c r="G27" s="22"/>
      <c r="H27" s="22"/>
    </row>
    <row r="28" ht="20" customHeight="1" spans="1:8" x14ac:dyDescent="0.25">
      <c r="A28" s="30">
        <v>26</v>
      </c>
      <c r="B28" s="22"/>
      <c r="C28" s="23"/>
      <c r="D28" s="22"/>
      <c r="E28" s="22"/>
      <c r="F28" s="22"/>
      <c r="G28" s="22"/>
      <c r="H28" s="22"/>
    </row>
    <row r="29" ht="20" customHeight="1" spans="1:8" x14ac:dyDescent="0.25">
      <c r="A29" s="30">
        <v>27</v>
      </c>
      <c r="B29" s="22"/>
      <c r="C29" s="23"/>
      <c r="D29" s="22"/>
      <c r="E29" s="22"/>
      <c r="F29" s="22"/>
      <c r="G29" s="22"/>
      <c r="H29" s="22"/>
    </row>
    <row r="30" ht="20" customHeight="1" spans="1:8" x14ac:dyDescent="0.25">
      <c r="A30" s="30">
        <v>28</v>
      </c>
      <c r="B30" s="22"/>
      <c r="C30" s="23"/>
      <c r="D30" s="22"/>
      <c r="E30" s="22"/>
      <c r="F30" s="22"/>
      <c r="G30" s="22"/>
      <c r="H30" s="22"/>
    </row>
    <row r="31" ht="20" customHeight="1" spans="1:8" x14ac:dyDescent="0.25">
      <c r="A31" s="30">
        <v>29</v>
      </c>
      <c r="B31" s="22"/>
      <c r="C31" s="23"/>
      <c r="D31" s="22"/>
      <c r="E31" s="22"/>
      <c r="F31" s="22"/>
      <c r="G31" s="22"/>
      <c r="H31" s="22"/>
    </row>
    <row r="32" ht="20" customHeight="1" spans="1:8" x14ac:dyDescent="0.25">
      <c r="A32" s="30">
        <v>30</v>
      </c>
      <c r="B32" s="22"/>
      <c r="C32" s="23"/>
      <c r="D32" s="22"/>
      <c r="E32" s="22"/>
      <c r="F32" s="22"/>
      <c r="G32" s="22"/>
      <c r="H32" s="22"/>
    </row>
    <row r="33" ht="20" customHeight="1" spans="1:8" x14ac:dyDescent="0.25">
      <c r="A33" s="30">
        <v>31</v>
      </c>
      <c r="B33" s="22"/>
      <c r="C33" s="23"/>
      <c r="D33" s="22"/>
      <c r="E33" s="22"/>
      <c r="F33" s="22"/>
      <c r="G33" s="22"/>
      <c r="H33" s="22"/>
    </row>
    <row r="34" ht="20" customHeight="1" spans="1:8" x14ac:dyDescent="0.25">
      <c r="A34" s="30">
        <v>32</v>
      </c>
      <c r="B34" s="22"/>
      <c r="C34" s="23"/>
      <c r="D34" s="22"/>
      <c r="E34" s="22"/>
      <c r="F34" s="22"/>
      <c r="G34" s="22"/>
      <c r="H34" s="22"/>
    </row>
    <row r="35" ht="20" customHeight="1" spans="1:8" x14ac:dyDescent="0.25">
      <c r="A35" s="30">
        <v>33</v>
      </c>
      <c r="B35" s="22"/>
      <c r="C35" s="23"/>
      <c r="D35" s="22"/>
      <c r="E35" s="22"/>
      <c r="F35" s="22"/>
      <c r="G35" s="22"/>
      <c r="H35" s="22"/>
    </row>
    <row r="36" ht="20" customHeight="1" spans="1:8" x14ac:dyDescent="0.25">
      <c r="A36" s="30">
        <v>34</v>
      </c>
      <c r="B36" s="22"/>
      <c r="C36" s="23"/>
      <c r="D36" s="22"/>
      <c r="E36" s="22"/>
      <c r="F36" s="22"/>
      <c r="G36" s="22"/>
      <c r="H36" s="22"/>
    </row>
    <row r="37" ht="20" customHeight="1" spans="1:8" x14ac:dyDescent="0.25">
      <c r="A37" s="30">
        <v>35</v>
      </c>
      <c r="B37" s="22"/>
      <c r="C37" s="23"/>
      <c r="D37" s="22"/>
      <c r="E37" s="22"/>
      <c r="F37" s="22"/>
      <c r="G37" s="22"/>
      <c r="H37" s="22"/>
    </row>
    <row r="38" ht="20" customHeight="1" spans="1:8" x14ac:dyDescent="0.25">
      <c r="A38" s="30">
        <v>36</v>
      </c>
      <c r="B38" s="22"/>
      <c r="C38" s="23"/>
      <c r="D38" s="22"/>
      <c r="E38" s="22"/>
      <c r="F38" s="22"/>
      <c r="G38" s="22"/>
      <c r="H38" s="22"/>
    </row>
    <row r="39" ht="20" customHeight="1" spans="1:8" x14ac:dyDescent="0.25">
      <c r="A39" s="30">
        <v>37</v>
      </c>
      <c r="B39" s="22"/>
      <c r="C39" s="23"/>
      <c r="D39" s="22"/>
      <c r="E39" s="22"/>
      <c r="F39" s="22"/>
      <c r="G39" s="22"/>
      <c r="H39" s="22"/>
    </row>
    <row r="40" ht="20" customHeight="1" spans="1:8" x14ac:dyDescent="0.25">
      <c r="A40" s="30">
        <v>38</v>
      </c>
      <c r="B40" s="22"/>
      <c r="C40" s="23"/>
      <c r="D40" s="22"/>
      <c r="E40" s="22"/>
      <c r="F40" s="22"/>
      <c r="G40" s="22"/>
      <c r="H40" s="22"/>
    </row>
    <row r="41" ht="20" customHeight="1" spans="1:8" x14ac:dyDescent="0.25">
      <c r="A41" s="30">
        <v>39</v>
      </c>
      <c r="B41" s="22"/>
      <c r="C41" s="23"/>
      <c r="D41" s="22"/>
      <c r="E41" s="22"/>
      <c r="F41" s="22"/>
      <c r="G41" s="22"/>
      <c r="H41" s="22"/>
    </row>
    <row r="42" ht="20" customHeight="1" spans="1:8" x14ac:dyDescent="0.25">
      <c r="A42" s="30">
        <v>40</v>
      </c>
      <c r="B42" s="22"/>
      <c r="C42" s="23"/>
      <c r="D42" s="22"/>
      <c r="E42" s="22"/>
      <c r="F42" s="22"/>
      <c r="G42" s="22"/>
      <c r="H42" s="22"/>
    </row>
    <row r="43" ht="20" customHeight="1" spans="1:8" x14ac:dyDescent="0.25">
      <c r="A43" s="30">
        <v>41</v>
      </c>
      <c r="B43" s="22"/>
      <c r="C43" s="23"/>
      <c r="D43" s="22"/>
      <c r="E43" s="22"/>
      <c r="F43" s="22"/>
      <c r="G43" s="22"/>
      <c r="H43" s="22"/>
    </row>
    <row r="44" ht="20" customHeight="1" spans="1:8" x14ac:dyDescent="0.25">
      <c r="A44" s="30">
        <v>42</v>
      </c>
      <c r="B44" s="22"/>
      <c r="C44" s="23"/>
      <c r="D44" s="22"/>
      <c r="E44" s="22"/>
      <c r="F44" s="22"/>
      <c r="G44" s="22"/>
      <c r="H44" s="22"/>
    </row>
    <row r="45" ht="20" customHeight="1" spans="1:8" x14ac:dyDescent="0.25">
      <c r="A45" s="30">
        <v>43</v>
      </c>
      <c r="B45" s="22"/>
      <c r="C45" s="23"/>
      <c r="D45" s="22"/>
      <c r="E45" s="22"/>
      <c r="F45" s="22"/>
      <c r="G45" s="22"/>
      <c r="H45" s="22"/>
    </row>
    <row r="46" ht="20" customHeight="1" spans="1:8" x14ac:dyDescent="0.25">
      <c r="A46" s="30">
        <v>44</v>
      </c>
      <c r="B46" s="22"/>
      <c r="C46" s="23"/>
      <c r="D46" s="22"/>
      <c r="E46" s="22"/>
      <c r="F46" s="22"/>
      <c r="G46" s="22"/>
      <c r="H46" s="22"/>
    </row>
    <row r="47" ht="20" customHeight="1" spans="1:8" x14ac:dyDescent="0.25">
      <c r="A47" s="30">
        <v>45</v>
      </c>
      <c r="B47" s="22"/>
      <c r="C47" s="23"/>
      <c r="D47" s="22"/>
      <c r="E47" s="22"/>
      <c r="F47" s="22"/>
      <c r="G47" s="22"/>
      <c r="H47" s="22"/>
    </row>
    <row r="48" ht="20" customHeight="1" spans="1:8" x14ac:dyDescent="0.25">
      <c r="A48" s="30">
        <v>46</v>
      </c>
      <c r="B48" s="22"/>
      <c r="C48" s="23"/>
      <c r="D48" s="22"/>
      <c r="E48" s="22"/>
      <c r="F48" s="22"/>
      <c r="G48" s="22"/>
      <c r="H48" s="22"/>
    </row>
    <row r="49" ht="20" customHeight="1" spans="1:8" x14ac:dyDescent="0.25">
      <c r="A49" s="30">
        <v>47</v>
      </c>
      <c r="B49" s="22"/>
      <c r="C49" s="23"/>
      <c r="D49" s="22"/>
      <c r="E49" s="22"/>
      <c r="F49" s="22"/>
      <c r="G49" s="22"/>
      <c r="H49" s="22"/>
    </row>
    <row r="50" ht="20" customHeight="1" spans="1:8" x14ac:dyDescent="0.25">
      <c r="A50" s="30">
        <v>48</v>
      </c>
      <c r="B50" s="22"/>
      <c r="C50" s="23"/>
      <c r="D50" s="22"/>
      <c r="E50" s="22"/>
      <c r="F50" s="22"/>
      <c r="G50" s="22"/>
      <c r="H50" s="22"/>
    </row>
    <row r="51" ht="20" customHeight="1" spans="1:8" x14ac:dyDescent="0.25">
      <c r="A51" s="30">
        <v>49</v>
      </c>
      <c r="B51" s="22"/>
      <c r="C51" s="23"/>
      <c r="D51" s="22"/>
      <c r="E51" s="22"/>
      <c r="F51" s="22"/>
      <c r="G51" s="22"/>
      <c r="H51" s="22"/>
    </row>
    <row r="52" ht="20" customHeight="1" spans="1:8" x14ac:dyDescent="0.25">
      <c r="A52" s="30">
        <v>50</v>
      </c>
      <c r="B52" s="22"/>
      <c r="C52" s="23"/>
      <c r="D52" s="22"/>
      <c r="E52" s="22"/>
      <c r="F52" s="22"/>
      <c r="G52" s="22"/>
      <c r="H52" s="22"/>
    </row>
  </sheetData>
  <sheetProtection sheet="1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8"/>
  <sheetFormatPr defaultRowHeight="15" outlineLevelRow="0" outlineLevelCol="0" x14ac:dyDescent="55"/>
  <cols>
    <col min="1" max="1" width="5" customWidth="1"/>
    <col min="2" max="2" width="50" customWidth="1"/>
    <col min="3" max="3" width="80" customWidth="1"/>
  </cols>
  <sheetData>
    <row r="1" spans="2:3" x14ac:dyDescent="0.25">
      <c r="B1" s="31" t="s">
        <v>91</v>
      </c>
      <c r="C1" t="s">
        <v>3</v>
      </c>
    </row>
    <row r="2" spans="2:3" x14ac:dyDescent="0.25">
      <c r="B2" t="s">
        <v>3</v>
      </c>
      <c r="C2" t="s">
        <v>3</v>
      </c>
    </row>
    <row r="3" spans="2:3" x14ac:dyDescent="0.25">
      <c r="B3" s="2" t="s">
        <v>92</v>
      </c>
      <c r="C3" t="s">
        <v>3</v>
      </c>
    </row>
    <row r="4" spans="2:3" x14ac:dyDescent="0.25">
      <c r="B4" s="32" t="s">
        <v>93</v>
      </c>
      <c r="C4" t="s">
        <v>94</v>
      </c>
    </row>
    <row r="5" spans="2:3" x14ac:dyDescent="0.25">
      <c r="B5" s="33" t="s">
        <v>95</v>
      </c>
      <c r="C5" t="s">
        <v>96</v>
      </c>
    </row>
    <row r="6" spans="2:3" x14ac:dyDescent="0.25">
      <c r="B6" s="34" t="s">
        <v>97</v>
      </c>
      <c r="C6" t="s">
        <v>98</v>
      </c>
    </row>
    <row r="7" spans="2:3" x14ac:dyDescent="0.25">
      <c r="B7" s="35" t="s">
        <v>99</v>
      </c>
      <c r="C7" t="s">
        <v>100</v>
      </c>
    </row>
    <row r="8" spans="2:3" x14ac:dyDescent="0.25">
      <c r="B8" t="s">
        <v>3</v>
      </c>
      <c r="C8" t="s">
        <v>3</v>
      </c>
    </row>
    <row r="9" spans="2:3" x14ac:dyDescent="0.25">
      <c r="B9" s="2" t="s">
        <v>101</v>
      </c>
      <c r="C9" t="s">
        <v>3</v>
      </c>
    </row>
    <row r="10" spans="2:3" x14ac:dyDescent="0.25">
      <c r="B10" t="s">
        <v>102</v>
      </c>
      <c r="C10" t="s">
        <v>103</v>
      </c>
    </row>
    <row r="11" spans="2:3" x14ac:dyDescent="0.25">
      <c r="B11" t="s">
        <v>104</v>
      </c>
      <c r="C11" t="s">
        <v>105</v>
      </c>
    </row>
    <row r="12" spans="2:3" x14ac:dyDescent="0.25">
      <c r="B12" t="s">
        <v>106</v>
      </c>
      <c r="C12" t="s">
        <v>107</v>
      </c>
    </row>
    <row r="13" spans="2:3" x14ac:dyDescent="0.25">
      <c r="B13" t="s">
        <v>108</v>
      </c>
      <c r="C13" t="s">
        <v>109</v>
      </c>
    </row>
    <row r="14" spans="2:3" x14ac:dyDescent="0.25">
      <c r="B14" t="s">
        <v>110</v>
      </c>
      <c r="C14" t="s">
        <v>111</v>
      </c>
    </row>
    <row r="15" spans="2:3" x14ac:dyDescent="0.25">
      <c r="B15" t="s">
        <v>112</v>
      </c>
      <c r="C15" t="s">
        <v>113</v>
      </c>
    </row>
    <row r="16" spans="2:3" x14ac:dyDescent="0.25">
      <c r="B16" t="s">
        <v>3</v>
      </c>
      <c r="C16" t="s">
        <v>3</v>
      </c>
    </row>
    <row r="17" spans="2:3" x14ac:dyDescent="0.25">
      <c r="B17" s="2" t="s">
        <v>114</v>
      </c>
      <c r="C17" t="s">
        <v>3</v>
      </c>
    </row>
    <row r="18" spans="2:3" x14ac:dyDescent="0.25">
      <c r="B18" t="s">
        <v>115</v>
      </c>
      <c r="C18" t="s">
        <v>116</v>
      </c>
    </row>
    <row r="19" spans="2:3" x14ac:dyDescent="0.25">
      <c r="B19" t="s">
        <v>117</v>
      </c>
      <c r="C19" t="s">
        <v>118</v>
      </c>
    </row>
    <row r="20" spans="2:3" x14ac:dyDescent="0.25">
      <c r="B20" t="s">
        <v>119</v>
      </c>
      <c r="C20" t="s">
        <v>120</v>
      </c>
    </row>
    <row r="21" spans="2:3" x14ac:dyDescent="0.25">
      <c r="B21" t="s">
        <v>121</v>
      </c>
      <c r="C21" t="s">
        <v>122</v>
      </c>
    </row>
    <row r="22" spans="2:3" x14ac:dyDescent="0.25">
      <c r="B22" t="s">
        <v>123</v>
      </c>
      <c r="C22" t="s">
        <v>124</v>
      </c>
    </row>
    <row r="23" spans="2:3" x14ac:dyDescent="0.25">
      <c r="B23" t="s">
        <v>125</v>
      </c>
      <c r="C23" t="s">
        <v>126</v>
      </c>
    </row>
    <row r="24" spans="2:3" x14ac:dyDescent="0.25">
      <c r="B24" t="s">
        <v>127</v>
      </c>
      <c r="C24" t="s">
        <v>128</v>
      </c>
    </row>
    <row r="25" spans="2:3" x14ac:dyDescent="0.25">
      <c r="B25" t="s">
        <v>129</v>
      </c>
      <c r="C25" t="s">
        <v>130</v>
      </c>
    </row>
    <row r="26" spans="2:3" x14ac:dyDescent="0.25">
      <c r="B26" t="s">
        <v>131</v>
      </c>
      <c r="C26" t="s">
        <v>132</v>
      </c>
    </row>
    <row r="27" spans="2:3" x14ac:dyDescent="0.25">
      <c r="B27" t="s">
        <v>133</v>
      </c>
      <c r="C27" t="s">
        <v>134</v>
      </c>
    </row>
    <row r="28" spans="2:3" x14ac:dyDescent="0.25">
      <c r="B28" t="s">
        <v>3</v>
      </c>
      <c r="C28" t="s">
        <v>3</v>
      </c>
    </row>
    <row r="29" spans="2:3" x14ac:dyDescent="0.25">
      <c r="B29" s="2" t="s">
        <v>135</v>
      </c>
      <c r="C29" t="s">
        <v>3</v>
      </c>
    </row>
    <row r="30" spans="2:3" x14ac:dyDescent="0.25">
      <c r="B30" t="s">
        <v>136</v>
      </c>
      <c r="C30" t="s">
        <v>137</v>
      </c>
    </row>
    <row r="31" spans="2:3" x14ac:dyDescent="0.25">
      <c r="B31" t="s">
        <v>138</v>
      </c>
      <c r="C31" t="s">
        <v>139</v>
      </c>
    </row>
    <row r="32" spans="2:3" x14ac:dyDescent="0.25">
      <c r="B32" t="s">
        <v>3</v>
      </c>
      <c r="C32" t="s">
        <v>3</v>
      </c>
    </row>
    <row r="33" spans="2:3" x14ac:dyDescent="0.25">
      <c r="B33" s="2" t="s">
        <v>140</v>
      </c>
      <c r="C33" t="s">
        <v>3</v>
      </c>
    </row>
    <row r="34" spans="2:3" x14ac:dyDescent="0.25">
      <c r="B34" t="s">
        <v>141</v>
      </c>
      <c r="C34" t="s">
        <v>3</v>
      </c>
    </row>
    <row r="35" spans="2:3" x14ac:dyDescent="0.25">
      <c r="B35" t="s">
        <v>142</v>
      </c>
      <c r="C35" t="s">
        <v>3</v>
      </c>
    </row>
    <row r="36" spans="2:3" x14ac:dyDescent="0.25">
      <c r="B36" t="s">
        <v>143</v>
      </c>
      <c r="C36" t="s">
        <v>3</v>
      </c>
    </row>
    <row r="37" spans="2:3" x14ac:dyDescent="0.25">
      <c r="B37" t="s">
        <v>144</v>
      </c>
      <c r="C37" t="s">
        <v>3</v>
      </c>
    </row>
    <row r="38" spans="2:3" x14ac:dyDescent="0.25">
      <c r="B38" t="s">
        <v>145</v>
      </c>
      <c r="C38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 (50%) &amp; HĐ HTHT (20%)</vt:lpstr>
      <vt:lpstr>KQ SV &amp; KỶ LUẬT SV (20%)</vt:lpstr>
      <vt:lpstr>list các môn học</vt:lpstr>
      <vt:lpstr>HƯỚNG DẪN ĐIỀN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2026-09-23T04:56:39Z</dcterms:created>
  <dcterms:modified xsi:type="dcterms:W3CDTF">2026-09-23T04:56:39Z</dcterms:modified>
</cp:coreProperties>
</file>