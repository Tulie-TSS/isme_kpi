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Trần Hương Thảo</v>
      </c>
    </row>
    <row r="5">
      <c r="E5" t="str">
        <v>Chức danh: Chủ nhiệm Chương trình BTEC HND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7</v>
      </c>
      <c r="I11">
        <v>7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7</v>
      </c>
      <c r="I12">
        <v>7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18</v>
      </c>
      <c r="I13">
        <v>18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33</v>
      </c>
      <c r="I14">
        <v>33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7</v>
      </c>
      <c r="I15">
        <v>7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7</v>
      </c>
      <c r="I16">
        <v>7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7</v>
      </c>
      <c r="I17">
        <v>7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7</v>
      </c>
      <c r="I18">
        <v>7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1</v>
      </c>
      <c r="I19">
        <v>1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7</v>
      </c>
      <c r="I20">
        <v>7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1</v>
      </c>
      <c r="I21">
        <v>1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9</v>
      </c>
      <c r="I22">
        <v>9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15</v>
      </c>
      <c r="I23">
        <v>15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1</v>
      </c>
      <c r="I24">
        <v>1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Trần Hương Thảo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BTEC HND</v>
      </c>
      <c r="B4" t="str">
        <v>SEM 2</v>
      </c>
      <c r="C4" t="str">
        <v>BTEC HND</v>
      </c>
      <c r="D4" t="str">
        <v>Marketing Processes and Planning</v>
      </c>
      <c r="E4">
        <v>4</v>
      </c>
      <c r="F4">
        <v>148</v>
      </c>
      <c r="G4">
        <v>0.95</v>
      </c>
      <c r="H4">
        <v>0.8</v>
      </c>
      <c r="I4">
        <v>0.9</v>
      </c>
      <c r="J4">
        <v>0.8</v>
      </c>
      <c r="K4">
        <v>0.793</v>
      </c>
      <c r="L4">
        <v>0.826</v>
      </c>
      <c r="M4">
        <v>0.936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BTEC HND</v>
      </c>
      <c r="B5" t="str">
        <v>SEM 2</v>
      </c>
      <c r="C5" t="str">
        <v>BTEC HND</v>
      </c>
      <c r="D5" t="str">
        <v>Management of Human Resources</v>
      </c>
      <c r="E5">
        <v>3</v>
      </c>
      <c r="F5">
        <v>157</v>
      </c>
      <c r="G5">
        <v>0.95</v>
      </c>
      <c r="H5">
        <v>0.8</v>
      </c>
      <c r="I5">
        <v>0.9</v>
      </c>
      <c r="J5">
        <v>0.94</v>
      </c>
      <c r="K5">
        <v>0.537</v>
      </c>
      <c r="L5">
        <v>0.747</v>
      </c>
      <c r="M5">
        <v>0.924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BTEC HND</v>
      </c>
      <c r="B6" t="str">
        <v>SEM 2</v>
      </c>
      <c r="C6" t="str">
        <v>BTEC HND</v>
      </c>
      <c r="D6" t="str">
        <v>Leadership and Management</v>
      </c>
      <c r="E6">
        <v>3</v>
      </c>
      <c r="F6">
        <v>83</v>
      </c>
      <c r="G6">
        <v>0.95</v>
      </c>
      <c r="H6">
        <v>0.8</v>
      </c>
      <c r="I6">
        <v>0.9</v>
      </c>
      <c r="J6">
        <v>1</v>
      </c>
      <c r="K6">
        <v>0.891</v>
      </c>
      <c r="L6">
        <v>0.895</v>
      </c>
      <c r="M6">
        <v>0.945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BTEC HND</v>
      </c>
      <c r="B7" t="str">
        <v>SEM 2</v>
      </c>
      <c r="C7" t="str">
        <v>BTEC HND</v>
      </c>
      <c r="D7" t="str">
        <v>Integrated Marketing Communications</v>
      </c>
      <c r="E7">
        <v>2</v>
      </c>
      <c r="F7">
        <v>55</v>
      </c>
      <c r="G7">
        <v>0.95</v>
      </c>
      <c r="H7">
        <v>0.8</v>
      </c>
      <c r="I7">
        <v>0.9</v>
      </c>
      <c r="J7">
        <v>0.88</v>
      </c>
      <c r="K7">
        <v>0.899</v>
      </c>
      <c r="L7">
        <v>0.971</v>
      </c>
      <c r="M7">
        <v>0.973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BTEC HND</v>
      </c>
      <c r="B8" t="str">
        <v>SEM 2</v>
      </c>
      <c r="C8" t="str">
        <v>BTEC HND</v>
      </c>
      <c r="D8" t="str">
        <v>Digital Marketing</v>
      </c>
      <c r="E8">
        <v>2</v>
      </c>
      <c r="F8">
        <v>64</v>
      </c>
      <c r="G8">
        <v>0.95</v>
      </c>
      <c r="H8">
        <v>0.8</v>
      </c>
      <c r="I8">
        <v>0.9</v>
      </c>
      <c r="J8">
        <v>0.92</v>
      </c>
      <c r="K8">
        <v>0.841</v>
      </c>
      <c r="L8">
        <v>0.924</v>
      </c>
      <c r="M8">
        <v>0.908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BTEC HND</v>
      </c>
      <c r="B9" t="str">
        <v>SEM 2</v>
      </c>
      <c r="C9" t="str">
        <v>BTEC HND</v>
      </c>
      <c r="D9" t="str">
        <v>Managing and Leading change</v>
      </c>
      <c r="E9">
        <v>2</v>
      </c>
      <c r="F9">
        <v>54</v>
      </c>
      <c r="G9">
        <v>0.95</v>
      </c>
      <c r="H9">
        <v>0.8</v>
      </c>
      <c r="I9">
        <v>0.9</v>
      </c>
      <c r="J9">
        <v>0.95</v>
      </c>
      <c r="K9">
        <v>0.91</v>
      </c>
      <c r="L9">
        <v>0.931</v>
      </c>
      <c r="M9">
        <v>0.925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0">
      <c r="A10" t="str">
        <v>BTEC HND</v>
      </c>
      <c r="B10" t="str">
        <v>SEM 2</v>
      </c>
      <c r="C10" t="str">
        <v>BTEC HND</v>
      </c>
      <c r="D10" t="str">
        <v>Global Business Environment</v>
      </c>
      <c r="E10">
        <v>2</v>
      </c>
      <c r="F10">
        <v>51</v>
      </c>
      <c r="G10">
        <v>0.95</v>
      </c>
      <c r="H10">
        <v>0.8</v>
      </c>
      <c r="I10">
        <v>0.9</v>
      </c>
      <c r="J10">
        <v>0.667</v>
      </c>
      <c r="K10">
        <v>0.881</v>
      </c>
      <c r="L10">
        <v>0.91</v>
      </c>
      <c r="M10">
        <v>0.902</v>
      </c>
      <c r="N10">
        <f>IF(OR(G10="N/A",J10="N/A"),"N/A",J10/G10)</f>
      </c>
      <c r="O10">
        <f>IF(OR(H10="N/A",K10="N/A"),"N/A",IF((K10/H10)&gt;=1, K10/H10, MIN(1, (K10/H10) + ((IF(OR(L10="N/A",L10=""),0,L10)/H10)*1))))</f>
      </c>
      <c r="P10">
        <f>IF(OR(I10="N/A",M10="N/A"),"N/A",M10/I10)</f>
      </c>
    </row>
    <row r="12">
      <c r="B12" t="str">
        <v>Người Duyệt</v>
      </c>
      <c r="D12" t="str">
        <v>Người đánh giá</v>
      </c>
      <c r="H12" t="str">
        <v>Người được đánh giá</v>
      </c>
    </row>
    <row r="16">
      <c r="B16" t="str">
        <v>Trưởng Ban</v>
      </c>
      <c r="D16" t="str">
        <v>Cán bộ quản lý trực tiếp</v>
      </c>
      <c r="H16" t="str">
        <v>Trần Hương Thảo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CAO ĐẲNG QUỐC TẾ BTEC HND</v>
      </c>
      <c r="F1" t="str">
        <v>KHUNG ĐÀO TẠO: Cao đẳng Quốc tế Pearson (2 năm)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BTEC HND</v>
      </c>
      <c r="C3" t="str">
        <v>Năm 1</v>
      </c>
      <c r="D3" t="str">
        <v>SEM 1</v>
      </c>
      <c r="E3" t="str">
        <v>RQF21.CBE</v>
      </c>
      <c r="F3" t="str">
        <v>The Contemporary Business Environment</v>
      </c>
      <c r="G3">
        <v>2</v>
      </c>
      <c r="H3">
        <v>45</v>
      </c>
      <c r="I3" t="str">
        <v>Kỳ học theo khóa</v>
      </c>
    </row>
    <row r="4">
      <c r="A4">
        <v>2</v>
      </c>
      <c r="B4" t="str">
        <v>BTEC HND</v>
      </c>
      <c r="C4" t="str">
        <v>Năm 1</v>
      </c>
      <c r="D4" t="str">
        <v>SEM 2</v>
      </c>
      <c r="E4" t="str">
        <v>RQF21.MPP</v>
      </c>
      <c r="F4" t="str">
        <v>Marketing Processes and Planning</v>
      </c>
      <c r="G4">
        <v>4</v>
      </c>
      <c r="H4">
        <v>148</v>
      </c>
      <c r="I4" t="str">
        <v>Kỳ hiện tại (Active)</v>
      </c>
    </row>
    <row r="5">
      <c r="A5">
        <v>3</v>
      </c>
      <c r="B5" t="str">
        <v>BTEC HND</v>
      </c>
      <c r="C5" t="str">
        <v>Năm 1</v>
      </c>
      <c r="D5" t="str">
        <v>SEM 2</v>
      </c>
      <c r="E5" t="str">
        <v>RQF21.MHR</v>
      </c>
      <c r="F5" t="str">
        <v>Management of Human Resources</v>
      </c>
      <c r="G5">
        <v>3</v>
      </c>
      <c r="H5">
        <v>157</v>
      </c>
      <c r="I5" t="str">
        <v>Kỳ hiện tại (Active)</v>
      </c>
    </row>
    <row r="6">
      <c r="A6">
        <v>4</v>
      </c>
      <c r="B6" t="str">
        <v>BTEC HND</v>
      </c>
      <c r="C6" t="str">
        <v>Năm 1</v>
      </c>
      <c r="D6" t="str">
        <v>SEM 1</v>
      </c>
      <c r="E6" t="str">
        <v>RQF21.AP</v>
      </c>
      <c r="F6" t="str">
        <v>Accounting Principles</v>
      </c>
      <c r="G6">
        <v>2</v>
      </c>
      <c r="H6">
        <v>45</v>
      </c>
      <c r="I6" t="str">
        <v>Kỳ học theo khóa</v>
      </c>
    </row>
    <row r="7">
      <c r="A7">
        <v>5</v>
      </c>
      <c r="B7" t="str">
        <v>BTEC HND</v>
      </c>
      <c r="C7" t="str">
        <v>Năm 1</v>
      </c>
      <c r="D7" t="str">
        <v>SEM 2</v>
      </c>
      <c r="E7" t="str">
        <v>RQF21.LM</v>
      </c>
      <c r="F7" t="str">
        <v>Leadership and Management</v>
      </c>
      <c r="G7">
        <v>3</v>
      </c>
      <c r="H7">
        <v>83</v>
      </c>
      <c r="I7" t="str">
        <v>Kỳ hiện tại (Active)</v>
      </c>
    </row>
    <row r="8">
      <c r="A8">
        <v>6</v>
      </c>
      <c r="B8" t="str">
        <v>BTEC HND</v>
      </c>
      <c r="C8" t="str">
        <v>Năm 1</v>
      </c>
      <c r="D8" t="str">
        <v>SEM 1</v>
      </c>
      <c r="E8" t="str">
        <v>RQF21.MSBP</v>
      </c>
      <c r="F8" t="str">
        <v>Managing a Successful Business Project (Pearson set)</v>
      </c>
      <c r="G8">
        <v>2</v>
      </c>
      <c r="H8">
        <v>45</v>
      </c>
      <c r="I8" t="str">
        <v>Kỳ học theo khóa</v>
      </c>
    </row>
    <row r="9">
      <c r="A9">
        <v>7</v>
      </c>
      <c r="B9" t="str">
        <v>BTEC HND</v>
      </c>
      <c r="C9" t="str">
        <v>Năm 1</v>
      </c>
      <c r="D9" t="str">
        <v>SEM 1</v>
      </c>
      <c r="E9" t="str">
        <v>RQF21.BL</v>
      </c>
      <c r="F9" t="str">
        <v>Business Law</v>
      </c>
      <c r="G9">
        <v>2</v>
      </c>
      <c r="H9">
        <v>45</v>
      </c>
      <c r="I9" t="str">
        <v>Kỳ học theo khóa</v>
      </c>
    </row>
    <row r="10">
      <c r="A10">
        <v>8</v>
      </c>
      <c r="B10" t="str">
        <v>BTEC HND</v>
      </c>
      <c r="C10" t="str">
        <v>Năm 1</v>
      </c>
      <c r="D10" t="str">
        <v>SEM 1</v>
      </c>
      <c r="E10" t="str">
        <v>RQF21.IC</v>
      </c>
      <c r="F10" t="str">
        <v>Innovation and Commercialisation</v>
      </c>
      <c r="G10">
        <v>2</v>
      </c>
      <c r="H10">
        <v>45</v>
      </c>
      <c r="I10" t="str">
        <v>Kỳ học theo khóa</v>
      </c>
    </row>
    <row r="11">
      <c r="A11">
        <v>9</v>
      </c>
      <c r="B11" t="str">
        <v>BTEC HND</v>
      </c>
      <c r="C11" t="str">
        <v>Năm 1</v>
      </c>
      <c r="D11" t="str">
        <v>SEM 1</v>
      </c>
      <c r="E11" t="str">
        <v>RQF21.OBM</v>
      </c>
      <c r="F11" t="str">
        <v>Organisational Behaviour Management</v>
      </c>
      <c r="G11">
        <v>2</v>
      </c>
      <c r="H11">
        <v>45</v>
      </c>
      <c r="I11" t="str">
        <v>Kỳ học theo khóa</v>
      </c>
    </row>
    <row r="12">
      <c r="A12">
        <v>10</v>
      </c>
      <c r="B12" t="str">
        <v>BTEC HND</v>
      </c>
      <c r="C12" t="str">
        <v>Năm 1</v>
      </c>
      <c r="D12" t="str">
        <v>SEM 1</v>
      </c>
      <c r="E12" t="str">
        <v>RQF21.SFM</v>
      </c>
      <c r="F12" t="str">
        <v>Statistics for Management</v>
      </c>
      <c r="G12">
        <v>2</v>
      </c>
      <c r="H12">
        <v>45</v>
      </c>
      <c r="I12" t="str">
        <v>Kỳ học theo khóa</v>
      </c>
    </row>
    <row r="13">
      <c r="A13">
        <v>11</v>
      </c>
      <c r="B13" t="str">
        <v>BTEC HND</v>
      </c>
      <c r="C13" t="str">
        <v>Năm 1</v>
      </c>
      <c r="D13" t="str">
        <v>SEM 1</v>
      </c>
      <c r="E13" t="str">
        <v>RQF21.BS</v>
      </c>
      <c r="F13" t="str">
        <v>Business Strategy</v>
      </c>
      <c r="G13">
        <v>2</v>
      </c>
      <c r="H13">
        <v>45</v>
      </c>
      <c r="I13" t="str">
        <v>Kỳ học theo khóa</v>
      </c>
    </row>
    <row r="14">
      <c r="A14">
        <v>12</v>
      </c>
      <c r="B14" t="str">
        <v>BTEC HND</v>
      </c>
      <c r="C14" t="str">
        <v>Năm 1</v>
      </c>
      <c r="D14" t="str">
        <v>SEM 1</v>
      </c>
      <c r="E14" t="str">
        <v>RQF21.RP</v>
      </c>
      <c r="F14" t="str">
        <v>Research Project (Pearson set)</v>
      </c>
      <c r="G14">
        <v>2</v>
      </c>
      <c r="H14">
        <v>45</v>
      </c>
      <c r="I14" t="str">
        <v>Kỳ học theo khóa</v>
      </c>
    </row>
    <row r="15">
      <c r="A15">
        <v>13</v>
      </c>
      <c r="B15" t="str">
        <v>BTEC HND</v>
      </c>
      <c r="C15" t="str">
        <v>Năm 1</v>
      </c>
      <c r="D15" t="str">
        <v>SEM 1</v>
      </c>
      <c r="E15" t="str">
        <v>RQF21.FR</v>
      </c>
      <c r="F15" t="str">
        <v>Financial Reporting</v>
      </c>
      <c r="G15">
        <v>2</v>
      </c>
      <c r="H15">
        <v>45</v>
      </c>
      <c r="I15" t="str">
        <v>Kỳ học theo khóa</v>
      </c>
    </row>
    <row r="16">
      <c r="A16">
        <v>14</v>
      </c>
      <c r="B16" t="str">
        <v>BTEC HND</v>
      </c>
      <c r="C16" t="str">
        <v>Năm 1</v>
      </c>
      <c r="D16" t="str">
        <v>SEM 1</v>
      </c>
      <c r="E16" t="str">
        <v>RQF21.MA</v>
      </c>
      <c r="F16" t="str">
        <v>Management Accounting</v>
      </c>
      <c r="G16">
        <v>2</v>
      </c>
      <c r="H16">
        <v>45</v>
      </c>
      <c r="I16" t="str">
        <v>Kỳ học theo khóa</v>
      </c>
    </row>
    <row r="17">
      <c r="A17">
        <v>15</v>
      </c>
      <c r="B17" t="str">
        <v>BTEC HND</v>
      </c>
      <c r="C17" t="str">
        <v>Năm 1</v>
      </c>
      <c r="D17" t="str">
        <v>SEM 1</v>
      </c>
      <c r="E17" t="str">
        <v>RQF21.FM</v>
      </c>
      <c r="F17" t="str">
        <v>Financial Management</v>
      </c>
      <c r="G17">
        <v>2</v>
      </c>
      <c r="H17">
        <v>45</v>
      </c>
      <c r="I17" t="str">
        <v>Kỳ học theo khóa</v>
      </c>
    </row>
    <row r="18">
      <c r="A18">
        <v>16</v>
      </c>
      <c r="B18" t="str">
        <v>BTEC HND</v>
      </c>
      <c r="C18" t="str">
        <v>Năm 1</v>
      </c>
      <c r="D18" t="str">
        <v>SEM 1</v>
      </c>
      <c r="E18" t="str">
        <v>RQF21.MIA</v>
      </c>
      <c r="F18" t="str">
        <v>Marketing Insights and Analytics</v>
      </c>
      <c r="G18">
        <v>2</v>
      </c>
      <c r="H18">
        <v>45</v>
      </c>
      <c r="I18" t="str">
        <v>Kỳ học theo khóa</v>
      </c>
    </row>
    <row r="19">
      <c r="A19">
        <v>17</v>
      </c>
      <c r="B19" t="str">
        <v>BTEC HND</v>
      </c>
      <c r="C19" t="str">
        <v>Năm 1</v>
      </c>
      <c r="D19" t="str">
        <v>SEM 2</v>
      </c>
      <c r="E19" t="str">
        <v>RQF21.IMC</v>
      </c>
      <c r="F19" t="str">
        <v>Integrated Marketing Communications</v>
      </c>
      <c r="G19">
        <v>2</v>
      </c>
      <c r="H19">
        <v>55</v>
      </c>
      <c r="I19" t="str">
        <v>Kỳ hiện tại (Active)</v>
      </c>
    </row>
    <row r="20">
      <c r="A20">
        <v>18</v>
      </c>
      <c r="B20" t="str">
        <v>BTEC HND</v>
      </c>
      <c r="C20" t="str">
        <v>Năm 1</v>
      </c>
      <c r="D20" t="str">
        <v>SEM 2</v>
      </c>
      <c r="E20" t="str">
        <v>RQF21.DM</v>
      </c>
      <c r="F20" t="str">
        <v>Digital Marketing</v>
      </c>
      <c r="G20">
        <v>2</v>
      </c>
      <c r="H20">
        <v>64</v>
      </c>
      <c r="I20" t="str">
        <v>Kỳ hiện tại (Active)</v>
      </c>
    </row>
    <row r="21">
      <c r="A21">
        <v>19</v>
      </c>
      <c r="B21" t="str">
        <v>BTEC HND</v>
      </c>
      <c r="C21" t="str">
        <v>Năm 1</v>
      </c>
      <c r="D21" t="str">
        <v>SEM 1</v>
      </c>
      <c r="E21" t="str">
        <v>RQF21.POM</v>
      </c>
      <c r="F21" t="str">
        <v>Principles of Operations Management</v>
      </c>
      <c r="G21">
        <v>2</v>
      </c>
      <c r="H21">
        <v>45</v>
      </c>
      <c r="I21" t="str">
        <v>Kỳ học theo khóa</v>
      </c>
    </row>
    <row r="22">
      <c r="A22">
        <v>20</v>
      </c>
      <c r="B22" t="str">
        <v>BTEC HND</v>
      </c>
      <c r="C22" t="str">
        <v>Năm 1</v>
      </c>
      <c r="D22" t="str">
        <v>SEM 2</v>
      </c>
      <c r="E22" t="str">
        <v>RQF21.MLC</v>
      </c>
      <c r="F22" t="str">
        <v>Managing and Leading change</v>
      </c>
      <c r="G22">
        <v>2</v>
      </c>
      <c r="H22">
        <v>54</v>
      </c>
      <c r="I22" t="str">
        <v>Kỳ hiện tại (Active)</v>
      </c>
    </row>
    <row r="23">
      <c r="A23">
        <v>21</v>
      </c>
      <c r="B23" t="str">
        <v>BTEC HND</v>
      </c>
      <c r="C23" t="str">
        <v>Năm 1</v>
      </c>
      <c r="D23" t="str">
        <v>SEM 2</v>
      </c>
      <c r="E23" t="str">
        <v>RQF21.GBE</v>
      </c>
      <c r="F23" t="str">
        <v>Global Business Environment</v>
      </c>
      <c r="G23">
        <v>2</v>
      </c>
      <c r="H23">
        <v>51</v>
      </c>
      <c r="I23" t="str">
        <v>Kỳ hiện tại (Active)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