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ERATION (50%) &amp; HĐ HTHT (20%)" sheetId="1" state="visible" r:id="rId1"/>
    <sheet xmlns:r="http://schemas.openxmlformats.org/officeDocument/2006/relationships" name="KQ SV &amp; KỶ LUẬT SV (20%)" sheetId="2" state="visible" r:id="rId2"/>
    <sheet xmlns:r="http://schemas.openxmlformats.org/officeDocument/2006/relationships" name="list các môn học" sheetId="3" state="visible" r:id="rId3"/>
    <sheet xmlns:r="http://schemas.openxmlformats.org/officeDocument/2006/relationships" name="HƯỚNG DẪN ĐIỀN" sheetId="4" state="visible" r:id="rId4"/>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8">
    <font>
      <name val="Calibri"/>
      <family val="2"/>
      <color theme="1"/>
      <sz val="11"/>
      <scheme val="minor"/>
    </font>
    <font>
      <name val="Segoe UI"/>
      <b val="1"/>
      <color rgb="0094A3B8"/>
      <sz val="10"/>
    </font>
    <font>
      <name val="Segoe UI"/>
      <b val="1"/>
      <color rgb="00FFFFFF"/>
      <sz val="14"/>
    </font>
    <font>
      <name val="Segoe UI"/>
      <i val="1"/>
      <color rgb="00E2E8F0"/>
      <sz val="9"/>
    </font>
    <font>
      <name val="Segoe UI"/>
      <b val="1"/>
      <color rgb="00334155"/>
      <sz val="9"/>
    </font>
    <font>
      <name val="Segoe UI"/>
      <color rgb="000F172A"/>
      <sz val="9"/>
    </font>
    <font>
      <name val="Segoe UI"/>
      <b val="1"/>
      <color rgb="00FFFFFF"/>
      <sz val="10"/>
    </font>
    <font>
      <name val="Segoe UI"/>
      <b val="1"/>
      <color rgb="001E293B"/>
      <sz val="9"/>
    </font>
    <font>
      <name val="Segoe UI"/>
      <b val="1"/>
      <color rgb="000F172A"/>
      <sz val="9"/>
    </font>
    <font>
      <name val="Segoe UI"/>
      <b val="1"/>
      <color rgb="00166534"/>
      <sz val="9"/>
    </font>
    <font>
      <name val="Segoe UI"/>
      <b val="1"/>
      <color rgb="009A3412"/>
      <sz val="9"/>
    </font>
    <font>
      <name val="Segoe UI"/>
      <b val="1"/>
      <color rgb="00166534"/>
      <sz val="10"/>
    </font>
    <font>
      <name val="Segoe UI"/>
      <b val="1"/>
      <color rgb="009A3412"/>
      <sz val="10"/>
    </font>
    <font>
      <name val="Segoe UI"/>
      <b val="1"/>
      <color rgb="00FFFFFF"/>
      <sz val="9"/>
    </font>
    <font>
      <name val="Segoe UI"/>
      <b val="1"/>
      <color rgb="001D4ED8"/>
      <sz val="9"/>
    </font>
    <font>
      <name val="Segoe UI"/>
      <color rgb="001E293B"/>
      <sz val="9"/>
    </font>
    <font>
      <name val="Segoe UI"/>
      <b val="1"/>
      <color rgb="000F172A"/>
      <sz val="10"/>
    </font>
    <font>
      <name val="Segoe UI"/>
      <b val="1"/>
      <color rgb="00166534"/>
      <sz val="11"/>
    </font>
  </fonts>
  <fills count="15">
    <fill>
      <patternFill/>
    </fill>
    <fill>
      <patternFill patternType="gray125"/>
    </fill>
    <fill>
      <patternFill patternType="solid">
        <fgColor rgb="000F172A"/>
        <bgColor rgb="000F172A"/>
      </patternFill>
    </fill>
    <fill>
      <patternFill patternType="solid">
        <fgColor rgb="001E3A8A"/>
        <bgColor rgb="001E3A8A"/>
      </patternFill>
    </fill>
    <fill>
      <patternFill patternType="solid">
        <fgColor rgb="00FEF9C3"/>
        <bgColor rgb="00FEF9C3"/>
      </patternFill>
    </fill>
    <fill>
      <patternFill patternType="solid">
        <fgColor rgb="001E293B"/>
        <bgColor rgb="001E293B"/>
      </patternFill>
    </fill>
    <fill>
      <patternFill patternType="solid">
        <fgColor rgb="00E2E8F0"/>
        <bgColor rgb="00E2E8F0"/>
      </patternFill>
    </fill>
    <fill>
      <patternFill patternType="solid">
        <fgColor rgb="00DCFCE7"/>
        <bgColor rgb="00DCFCE7"/>
      </patternFill>
    </fill>
    <fill>
      <patternFill patternType="solid">
        <fgColor rgb="00FFEDD5"/>
        <bgColor rgb="00FFEDD5"/>
      </patternFill>
    </fill>
    <fill>
      <patternFill patternType="solid">
        <fgColor rgb="00F1F5F9"/>
        <bgColor rgb="00F1F5F9"/>
      </patternFill>
    </fill>
    <fill>
      <patternFill patternType="solid">
        <fgColor rgb="00334155"/>
        <bgColor rgb="00334155"/>
      </patternFill>
    </fill>
    <fill>
      <patternFill patternType="solid">
        <fgColor rgb="001E40AF"/>
        <bgColor rgb="001E40AF"/>
      </patternFill>
    </fill>
    <fill>
      <patternFill patternType="solid">
        <fgColor rgb="00F8FAFC"/>
        <bgColor rgb="00F8FAFC"/>
      </patternFill>
    </fill>
    <fill>
      <patternFill patternType="solid">
        <fgColor rgb="000F766E"/>
        <bgColor rgb="000F766E"/>
      </patternFill>
    </fill>
    <fill>
      <patternFill patternType="solid">
        <fgColor rgb="006D28D9"/>
        <bgColor rgb="006D28D9"/>
      </patternFill>
    </fill>
  </fills>
  <borders count="4">
    <border>
      <left/>
      <right/>
      <top/>
      <bottom/>
      <diagonal/>
    </border>
    <border>
      <left style="thin">
        <color rgb="00CBD5E1"/>
      </left>
      <right style="thin">
        <color rgb="00CBD5E1"/>
      </right>
      <top style="thin">
        <color rgb="00CBD5E1"/>
      </top>
      <bottom style="thin">
        <color rgb="00CBD5E1"/>
      </bottom>
    </border>
    <border>
      <left style="thin">
        <color rgb="00CBD5E1"/>
      </left>
      <right style="thin">
        <color rgb="00CBD5E1"/>
      </right>
      <top style="thin">
        <color rgb="00475569"/>
      </top>
      <bottom style="double">
        <color rgb="000F172A"/>
      </bottom>
    </border>
    <border>
      <left style="thin">
        <color rgb="00475569"/>
      </left>
      <right style="thin">
        <color rgb="00475569"/>
      </right>
      <top style="thin">
        <color rgb="00475569"/>
      </top>
      <bottom style="medium">
        <color rgb="000F172A"/>
      </bottom>
    </border>
  </borders>
  <cellStyleXfs count="1">
    <xf numFmtId="0" fontId="0" fillId="0" borderId="0"/>
  </cellStyleXfs>
  <cellXfs count="59">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3" borderId="0" applyAlignment="1" pivotButton="0" quotePrefix="0" xfId="0">
      <alignment horizontal="center" vertical="center" wrapText="1"/>
    </xf>
    <xf numFmtId="0" fontId="4" fillId="0" borderId="0" applyAlignment="1" pivotButton="0" quotePrefix="0" xfId="0">
      <alignment horizontal="right" vertical="center"/>
    </xf>
    <xf numFmtId="0" fontId="5" fillId="4" borderId="1" applyAlignment="1" pivotButton="0" quotePrefix="0" xfId="0">
      <alignment horizontal="left" vertical="center" wrapText="1"/>
    </xf>
    <xf numFmtId="0" fontId="5" fillId="0" borderId="1" applyAlignment="1" pivotButton="0" quotePrefix="0" xfId="0">
      <alignment horizontal="left" vertical="center" wrapText="1"/>
    </xf>
    <xf numFmtId="0" fontId="6" fillId="5" borderId="0" applyAlignment="1" pivotButton="0" quotePrefix="0" xfId="0">
      <alignment horizontal="center" vertical="center" wrapText="1"/>
    </xf>
    <xf numFmtId="0" fontId="7" fillId="6" borderId="1" applyAlignment="1" pivotButton="0" quotePrefix="0" xfId="0">
      <alignment horizontal="center" vertical="center" wrapText="1"/>
    </xf>
    <xf numFmtId="0" fontId="8" fillId="0" borderId="1" applyAlignment="1" pivotButton="0" quotePrefix="0" xfId="0">
      <alignment horizontal="left" vertical="center" indent="1"/>
    </xf>
    <xf numFmtId="9" fontId="8" fillId="0" borderId="1" applyAlignment="1" pivotButton="0" quotePrefix="0" xfId="0">
      <alignment horizontal="center" vertical="center" wrapText="1"/>
    </xf>
    <xf numFmtId="164" fontId="9" fillId="7" borderId="1" applyAlignment="1" pivotButton="0" quotePrefix="0" xfId="0">
      <alignment horizontal="center" vertical="center" wrapText="1"/>
    </xf>
    <xf numFmtId="164" fontId="10" fillId="8" borderId="1" applyAlignment="1" pivotButton="0" quotePrefix="0" xfId="0">
      <alignment horizontal="center" vertical="center" wrapText="1"/>
    </xf>
    <xf numFmtId="0" fontId="8" fillId="9" borderId="2" applyAlignment="1" pivotButton="0" quotePrefix="0" xfId="0">
      <alignment horizontal="left" vertical="center" indent="1"/>
    </xf>
    <xf numFmtId="9" fontId="8" fillId="9" borderId="2" applyAlignment="1" pivotButton="0" quotePrefix="0" xfId="0">
      <alignment horizontal="center" vertical="center" wrapText="1"/>
    </xf>
    <xf numFmtId="164" fontId="11" fillId="7" borderId="2" applyAlignment="1" pivotButton="0" quotePrefix="0" xfId="0">
      <alignment horizontal="center" vertical="center" wrapText="1"/>
    </xf>
    <xf numFmtId="164" fontId="12" fillId="8" borderId="2" applyAlignment="1" pivotButton="0" quotePrefix="0" xfId="0">
      <alignment horizontal="center" vertical="center" wrapText="1"/>
    </xf>
    <xf numFmtId="0" fontId="13" fillId="10" borderId="3" applyAlignment="1" pivotButton="0" quotePrefix="0" xfId="0">
      <alignment horizontal="center" vertical="center" wrapText="1"/>
    </xf>
    <xf numFmtId="0" fontId="6" fillId="11" borderId="0" applyAlignment="1" pivotButton="0" quotePrefix="0" xfId="0">
      <alignment horizontal="left" vertical="center" indent="1"/>
    </xf>
    <xf numFmtId="0" fontId="14" fillId="0" borderId="1" applyAlignment="1" pivotButton="0" quotePrefix="0" xfId="0">
      <alignment horizontal="center" vertical="center" wrapText="1"/>
    </xf>
    <xf numFmtId="0" fontId="8" fillId="0" borderId="1" applyAlignment="1" pivotButton="0" quotePrefix="0" xfId="0">
      <alignment horizontal="left" vertical="center" wrapText="1"/>
    </xf>
    <xf numFmtId="0" fontId="15" fillId="0" borderId="1" applyAlignment="1" pivotButton="0" quotePrefix="0" xfId="0">
      <alignment horizontal="left" vertical="center" wrapText="1"/>
    </xf>
    <xf numFmtId="0" fontId="15" fillId="0" borderId="1" applyAlignment="1" pivotButton="0" quotePrefix="0" xfId="0">
      <alignment horizontal="center" vertical="center" wrapText="1"/>
    </xf>
    <xf numFmtId="3" fontId="15" fillId="4" borderId="1" applyAlignment="1" pivotButton="0" quotePrefix="0" xfId="0">
      <alignment horizontal="center" vertical="center" wrapText="1"/>
    </xf>
    <xf numFmtId="3" fontId="10" fillId="8" borderId="1" applyAlignment="1" pivotButton="0" quotePrefix="0" xfId="0">
      <alignment horizontal="center" vertical="center" wrapText="1"/>
    </xf>
    <xf numFmtId="0" fontId="14" fillId="12" borderId="1" applyAlignment="1" pivotButton="0" quotePrefix="0" xfId="0">
      <alignment horizontal="center" vertical="center" wrapText="1"/>
    </xf>
    <xf numFmtId="0" fontId="8" fillId="12" borderId="1" applyAlignment="1" pivotButton="0" quotePrefix="0" xfId="0">
      <alignment horizontal="left" vertical="center" wrapText="1"/>
    </xf>
    <xf numFmtId="0" fontId="15" fillId="12" borderId="1" applyAlignment="1" pivotButton="0" quotePrefix="0" xfId="0">
      <alignment horizontal="left" vertical="center" wrapText="1"/>
    </xf>
    <xf numFmtId="0" fontId="15" fillId="12" borderId="1" applyAlignment="1" pivotButton="0" quotePrefix="0" xfId="0">
      <alignment horizontal="center" vertical="center" wrapText="1"/>
    </xf>
    <xf numFmtId="9" fontId="8" fillId="12" borderId="1" applyAlignment="1" pivotButton="0" quotePrefix="0" xfId="0">
      <alignment horizontal="center" vertical="center" wrapText="1"/>
    </xf>
    <xf numFmtId="0" fontId="8" fillId="9" borderId="2" applyAlignment="1" pivotButton="0" quotePrefix="0" xfId="0">
      <alignment horizontal="right" vertical="center" indent="1"/>
    </xf>
    <xf numFmtId="165" fontId="12" fillId="8" borderId="2" applyAlignment="1" pivotButton="0" quotePrefix="0" xfId="0">
      <alignment horizontal="center" vertical="center" wrapText="1"/>
    </xf>
    <xf numFmtId="0" fontId="4" fillId="0" borderId="2" applyAlignment="1" pivotButton="0" quotePrefix="0" xfId="0">
      <alignment horizontal="left" vertical="center" wrapText="1"/>
    </xf>
    <xf numFmtId="0" fontId="6" fillId="13" borderId="0" applyAlignment="1" pivotButton="0" quotePrefix="0" xfId="0">
      <alignment horizontal="left" vertical="center" indent="1"/>
    </xf>
    <xf numFmtId="0" fontId="6" fillId="14" borderId="0" applyAlignment="1" pivotButton="0" quotePrefix="0" xfId="0">
      <alignment horizontal="left" vertical="center" indent="1"/>
    </xf>
    <xf numFmtId="0" fontId="4" fillId="0" borderId="0" applyAlignment="1" pivotButton="0" quotePrefix="0" xfId="0">
      <alignment horizontal="center" vertical="center" wrapText="1"/>
    </xf>
    <xf numFmtId="0" fontId="5" fillId="4" borderId="1" applyAlignment="1" pivotButton="0" quotePrefix="0" xfId="0">
      <alignment horizontal="center" vertical="center" wrapText="1"/>
    </xf>
    <xf numFmtId="0" fontId="9" fillId="7" borderId="1" applyAlignment="1" pivotButton="0" quotePrefix="0" xfId="0">
      <alignment horizontal="center" vertical="center" wrapText="1"/>
    </xf>
    <xf numFmtId="0" fontId="10" fillId="8" borderId="1" applyAlignment="1" pivotButton="0" quotePrefix="0" xfId="0">
      <alignment horizontal="center" vertical="center" wrapText="1"/>
    </xf>
    <xf numFmtId="0" fontId="6" fillId="2" borderId="0" applyAlignment="1" pivotButton="0" quotePrefix="0" xfId="0">
      <alignment horizontal="center" vertical="center" wrapText="1"/>
    </xf>
    <xf numFmtId="0" fontId="6" fillId="11" borderId="0" applyAlignment="1" pivotButton="0" quotePrefix="0" xfId="0">
      <alignment horizontal="center" vertical="center" wrapText="1"/>
    </xf>
    <xf numFmtId="0" fontId="6" fillId="13" borderId="0" applyAlignment="1" pivotButton="0" quotePrefix="0" xfId="0">
      <alignment horizontal="center" vertical="center" wrapText="1"/>
    </xf>
    <xf numFmtId="0" fontId="8" fillId="0" borderId="1" applyAlignment="1" pivotButton="0" quotePrefix="0" xfId="0">
      <alignment horizontal="center" vertical="center" wrapText="1"/>
    </xf>
    <xf numFmtId="3" fontId="15" fillId="0" borderId="1" applyAlignment="1" pivotButton="0" quotePrefix="0" xfId="0">
      <alignment horizontal="center" vertical="center" wrapText="1"/>
    </xf>
    <xf numFmtId="9" fontId="8" fillId="9" borderId="1" applyAlignment="1" pivotButton="0" quotePrefix="0" xfId="0">
      <alignment horizontal="center" vertical="center" wrapText="1"/>
    </xf>
    <xf numFmtId="164" fontId="15" fillId="4" borderId="1" applyAlignment="1" pivotButton="0" quotePrefix="0" xfId="0">
      <alignment horizontal="center" vertical="center" wrapText="1"/>
    </xf>
    <xf numFmtId="0" fontId="8" fillId="12" borderId="1" applyAlignment="1" pivotButton="0" quotePrefix="0" xfId="0">
      <alignment horizontal="center" vertical="center" wrapText="1"/>
    </xf>
    <xf numFmtId="3" fontId="15" fillId="12" borderId="1" applyAlignment="1" pivotButton="0" quotePrefix="0" xfId="0">
      <alignment horizontal="center" vertical="center" wrapText="1"/>
    </xf>
    <xf numFmtId="0" fontId="8" fillId="4" borderId="1" applyAlignment="1" pivotButton="0" quotePrefix="0" xfId="0">
      <alignment horizontal="center" vertical="center" wrapText="1"/>
    </xf>
    <xf numFmtId="0" fontId="15" fillId="4" borderId="1" applyAlignment="1" pivotButton="0" quotePrefix="0" xfId="0">
      <alignment horizontal="left" vertical="center" wrapText="1"/>
    </xf>
    <xf numFmtId="9" fontId="8" fillId="4" borderId="1" applyAlignment="1" pivotButton="0" quotePrefix="0" xfId="0">
      <alignment horizontal="center" vertical="center" wrapText="1"/>
    </xf>
    <xf numFmtId="0" fontId="16" fillId="9" borderId="2" applyAlignment="1" pivotButton="0" quotePrefix="0" xfId="0">
      <alignment horizontal="right" vertical="center" indent="1"/>
    </xf>
    <xf numFmtId="164" fontId="17" fillId="7" borderId="2" applyAlignment="1" pivotButton="0" quotePrefix="0" xfId="0">
      <alignment horizontal="center" vertical="center" wrapText="1"/>
    </xf>
    <xf numFmtId="0" fontId="4" fillId="0" borderId="0" applyAlignment="1" pivotButton="0" quotePrefix="0" xfId="0">
      <alignment horizontal="left" vertical="center" wrapText="1"/>
    </xf>
    <xf numFmtId="0" fontId="0" fillId="4" borderId="1" pivotButton="0" quotePrefix="0" xfId="0"/>
    <xf numFmtId="0" fontId="8" fillId="6" borderId="1" applyAlignment="1" pivotButton="0" quotePrefix="0" xfId="0">
      <alignment horizontal="left" vertical="center" wrapText="1"/>
    </xf>
    <xf numFmtId="0" fontId="15" fillId="7" borderId="1" applyAlignment="1" pivotButton="0" quotePrefix="0" xfId="0">
      <alignment horizontal="left" vertical="center" wrapText="1"/>
    </xf>
    <xf numFmtId="0" fontId="15" fillId="8" borderId="1" applyAlignment="1" pivotButton="0" quotePrefix="0" xfId="0">
      <alignment horizontal="left" vertical="center" wrapText="1"/>
    </xf>
    <xf numFmtId="0" fontId="15" fillId="9"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1"/>
  <sheetViews>
    <sheetView showGridLines="1" workbookViewId="0">
      <selection activeCell="A1" sqref="A1"/>
    </sheetView>
  </sheetViews>
  <sheetFormatPr baseColWidth="8" defaultRowHeight="15" outlineLevelCol="0"/>
  <cols>
    <col width="6" customWidth="1" min="1" max="1"/>
    <col width="24" customWidth="1" min="2" max="2"/>
    <col width="34" customWidth="1" min="3" max="3"/>
    <col width="46" customWidth="1" min="4" max="4"/>
    <col width="10" customWidth="1" min="5" max="5"/>
    <col width="12" customWidth="1" min="6" max="6"/>
    <col width="14" customWidth="1" min="7" max="7"/>
    <col width="15" customWidth="1" min="8" max="8"/>
    <col width="14" customWidth="1" min="9" max="9"/>
    <col width="15" customWidth="1" min="10" max="10"/>
    <col width="32" customWidth="1" min="11" max="11"/>
  </cols>
  <sheetData>
    <row r="1" ht="24" customHeight="1">
      <c r="A1" s="1" t="inlineStr">
        <is>
          <t>VIỆN ĐÀO TẠO QUỐC TẾ (ISME) — TRƯỜNG ĐẠI HỌC KINH TẾ QUỐC DÂN</t>
        </is>
      </c>
    </row>
    <row r="2" ht="34" customHeight="1">
      <c r="A2" s="2" t="inlineStr">
        <is>
          <t>BẢNG TỰ ĐÁNH GIÁ &amp; THEO DÕI KPI CHUYÊN VIÊN ĐIỀU PHỐI (COORDINATOR)</t>
        </is>
      </c>
    </row>
    <row r="3" ht="20" customHeight="1">
      <c r="A3" s="3" t="inlineStr">
        <is>
          <t>Cơ cấu 4 nhóm trọng số: Vận hành (50%) · Hỗ trợ học tập (20%) · Kết quả sinh viên &amp; Kỷ luật (20%) · Hoạt động khác (10%)</t>
        </is>
      </c>
    </row>
    <row r="4" ht="8" customHeight="1"/>
    <row r="5" ht="24" customHeight="1">
      <c r="B5" s="4" t="inlineStr">
        <is>
          <t>Họ và tên Coordinator:</t>
        </is>
      </c>
      <c r="C5" s="5" t="inlineStr"/>
      <c r="F5" s="4" t="inlineStr">
        <is>
          <t>Kỳ đánh giá:</t>
        </is>
      </c>
      <c r="G5" s="5" t="inlineStr">
        <is>
          <t>Kỳ 2 2025-2026</t>
        </is>
      </c>
      <c r="I5" s="4" t="inlineStr">
        <is>
          <t>Năm học:</t>
        </is>
      </c>
      <c r="J5" s="5" t="inlineStr">
        <is>
          <t>2025 - 2026</t>
        </is>
      </c>
    </row>
    <row r="6" ht="24" customHeight="1">
      <c r="B6" s="4" t="inlineStr">
        <is>
          <t>Chức danh công việc:</t>
        </is>
      </c>
      <c r="C6" s="6" t="inlineStr">
        <is>
          <t>Chuyên viên điều phối chương trình</t>
        </is>
      </c>
      <c r="F6" s="4" t="inlineStr">
        <is>
          <t>Chương trình phụ trách:</t>
        </is>
      </c>
      <c r="G6" s="5" t="inlineStr">
        <is>
          <t>[Điền tên CT: BBAE, BTEC, UWE, CU, NHTc, Năm 1...]</t>
        </is>
      </c>
    </row>
    <row r="7" ht="24" customHeight="1">
      <c r="B7" s="4" t="inlineStr">
        <is>
          <t>Cán bộ quản lý trực tiếp:</t>
        </is>
      </c>
      <c r="C7" s="6" t="inlineStr">
        <is>
          <t>Hồ Hoàng Lan - Trưởng Ban Đào tạo ĐH</t>
        </is>
      </c>
      <c r="F7" s="4" t="inlineStr">
        <is>
          <t>Mã nhân viên / Email:</t>
        </is>
      </c>
      <c r="G7" s="5" t="inlineStr"/>
      <c r="I7" s="4" t="inlineStr">
        <is>
          <t>Ngày hoàn thành:</t>
        </is>
      </c>
      <c r="J7" s="5" t="inlineStr"/>
    </row>
    <row r="8" ht="10" customHeight="1"/>
    <row r="9" ht="26" customHeight="1">
      <c r="B9" s="7" t="inlineStr">
        <is>
          <t>BẢNG TỔNG HỢP KẾT QUẢ ĐÁNH GIÁ KPI TOÀN DIỆN (TỰ ĐỘNG TÍNH THEO TRỌNG SỐ)</t>
        </is>
      </c>
    </row>
    <row r="10" ht="24" customHeight="1">
      <c r="B10" s="8" t="inlineStr">
        <is>
          <t>NHÓM TIÊU CHUẨN ĐÁNH GIÁ KPI</t>
        </is>
      </c>
      <c r="F10" s="8" t="inlineStr">
        <is>
          <t>TRỌNG SỐ</t>
        </is>
      </c>
      <c r="G10" s="8" t="inlineStr">
        <is>
          <t>ĐIỂM TỰ ĐÁNH GIÁ</t>
        </is>
      </c>
      <c r="I10" s="8" t="inlineStr">
        <is>
          <t>ĐIỂM QUẢN LÝ</t>
        </is>
      </c>
      <c r="J10" s="8" t="inlineStr">
        <is>
          <t>ĐIỂM QUY ĐỔI TRỌNG SỐ</t>
        </is>
      </c>
    </row>
    <row r="11" ht="24" customHeight="1">
      <c r="B11" s="9" t="inlineStr">
        <is>
          <t>Nhóm I: Vận hành công việc theo mô tả CV (Operations)</t>
        </is>
      </c>
      <c r="F11" s="10" t="n">
        <v>0.5</v>
      </c>
      <c r="G11" s="11">
        <f>I29</f>
        <v/>
      </c>
      <c r="I11" s="12">
        <f>IF(J29&gt;1,J29/100,J29)</f>
        <v/>
      </c>
      <c r="J11" s="11">
        <f>G11*F11</f>
        <v/>
      </c>
    </row>
    <row r="12" ht="24" customHeight="1">
      <c r="B12" s="9" t="inlineStr">
        <is>
          <t>Nhóm II: Hoạt động hỗ trợ học tập (Academic Support)</t>
        </is>
      </c>
      <c r="F12" s="10" t="n">
        <v>0.2</v>
      </c>
      <c r="G12" s="11">
        <f>I33</f>
        <v/>
      </c>
      <c r="I12" s="12">
        <f>IF(J33&gt;1,J33/100,J33)</f>
        <v/>
      </c>
      <c r="J12" s="11">
        <f>G12*F12</f>
        <v/>
      </c>
    </row>
    <row r="13" ht="24" customHeight="1">
      <c r="B13" s="9" t="inlineStr">
        <is>
          <t>Nhóm III: Kết quả học tập &amp; Kỷ luật của SV (Sheet 2)</t>
        </is>
      </c>
      <c r="F13" s="10" t="n">
        <v>0.2</v>
      </c>
      <c r="G13" s="11">
        <f>'KQ SV &amp; KỶ LUẬT SV (20%)'!Q32</f>
        <v/>
      </c>
      <c r="I13" s="12">
        <f>'KQ SV &amp; KỶ LUẬT SV (20%)'!Q32</f>
        <v/>
      </c>
      <c r="J13" s="11">
        <f>G13*F13</f>
        <v/>
      </c>
    </row>
    <row r="14" ht="24" customHeight="1">
      <c r="B14" s="9" t="inlineStr">
        <is>
          <t>Nhóm IV: Các hoạt động khác (Tuyển sinh, Du học, Ban/Viện)</t>
        </is>
      </c>
      <c r="F14" s="10" t="n">
        <v>0.1</v>
      </c>
      <c r="G14" s="11">
        <f>I39</f>
        <v/>
      </c>
      <c r="I14" s="12">
        <f>IF(J39&gt;1,J39/100,J39)</f>
        <v/>
      </c>
      <c r="J14" s="11">
        <f>G14*F14</f>
        <v/>
      </c>
    </row>
    <row r="15" ht="28" customHeight="1">
      <c r="B15" s="13" t="inlineStr">
        <is>
          <t>TỔNG ĐIỂM KPI CHUNG TOÀN DIỆN CUỐI KỲ</t>
        </is>
      </c>
      <c r="F15" s="14">
        <f>SUM(F11:F14)</f>
        <v/>
      </c>
      <c r="G15" s="15">
        <f>SUM(J11:J14)</f>
        <v/>
      </c>
      <c r="I15" s="16">
        <f>SUMPRODUCT(I11:I14, F11:F14)</f>
        <v/>
      </c>
      <c r="J15" s="15">
        <f>G15</f>
        <v/>
      </c>
    </row>
    <row r="16" ht="14" customHeight="1"/>
    <row r="17" ht="36" customHeight="1">
      <c r="A17" s="17" t="inlineStr">
        <is>
          <t>STT</t>
        </is>
      </c>
      <c r="B17" s="17" t="inlineStr">
        <is>
          <t>Đầu mục công việc</t>
        </is>
      </c>
      <c r="C17" s="17" t="inlineStr">
        <is>
          <t>Mô tả chi tiết vị trí CV</t>
        </is>
      </c>
      <c r="D17" s="17" t="inlineStr">
        <is>
          <t>Tiêu chí đánh giá chất lượng &amp; tiến độ</t>
        </is>
      </c>
      <c r="E17" s="17" t="inlineStr">
        <is>
          <t>Đơn vị đo</t>
        </is>
      </c>
      <c r="F17" s="17" t="inlineStr">
        <is>
          <t>Mục tiêu KPI</t>
        </is>
      </c>
      <c r="G17" s="17" t="inlineStr">
        <is>
          <t>Số lượng được giao</t>
        </is>
      </c>
      <c r="H17" s="17" t="inlineStr">
        <is>
          <t>SL hoàn thành
(Tự đánh giá)</t>
        </is>
      </c>
      <c r="I17" s="17" t="inlineStr">
        <is>
          <t>Tỉ lệ hoàn thành
(Tự đánh giá)</t>
        </is>
      </c>
      <c r="J17" s="17" t="inlineStr">
        <is>
          <t>Điểm Quản lý
(Thang 1-100)</t>
        </is>
      </c>
      <c r="K17" s="17" t="inlineStr">
        <is>
          <t>Ghi chú / Giải trình minh chứng</t>
        </is>
      </c>
    </row>
    <row r="18" ht="28" customHeight="1">
      <c r="A18" s="18" t="inlineStr">
        <is>
          <t>PHẦN I: NHÓM KPI THEO MÔ TẢ CÔNG VIỆC — VẬN HÀNH (OPERATIONS) — TRỌNG SỐ: 50%</t>
        </is>
      </c>
    </row>
    <row r="19" ht="36" customHeight="1">
      <c r="A19" s="19" t="inlineStr">
        <is>
          <t>1.1</t>
        </is>
      </c>
      <c r="B19" s="20" t="inlineStr">
        <is>
          <t>Quản lý nội dung giảng dạy</t>
        </is>
      </c>
      <c r="C19" s="21" t="inlineStr">
        <is>
          <t>Làm việc với nhóm GV từng môn về nội dung giảng dạy</t>
        </is>
      </c>
      <c r="D19" s="21" t="inlineStr">
        <is>
          <t>Tỷ lệ các môn học có đầy đủ các tài liệu (SoW, Assessment Plan, Assignment Brief) theo yêu cầu và đúng tiến độ</t>
        </is>
      </c>
      <c r="E19" s="22" t="inlineStr">
        <is>
          <t>%</t>
        </is>
      </c>
      <c r="F19" s="10" t="n">
        <v>1</v>
      </c>
      <c r="G19" s="23" t="n">
        <v>6</v>
      </c>
      <c r="H19" s="23" t="n">
        <v>6</v>
      </c>
      <c r="I19" s="11">
        <f>IF(OR(G19=0,G19=""),"",H19/G19)</f>
        <v/>
      </c>
      <c r="J19" s="24" t="n">
        <v>100</v>
      </c>
      <c r="K19" s="21" t="inlineStr"/>
    </row>
    <row r="20" ht="36" customHeight="1">
      <c r="A20" s="25" t="inlineStr">
        <is>
          <t>1.2</t>
        </is>
      </c>
      <c r="B20" s="26" t="inlineStr">
        <is>
          <t>Quản lý tài liệu môn học</t>
        </is>
      </c>
      <c r="C20" s="27" t="inlineStr">
        <is>
          <t>Cập nhật tài liệu giảng dạy trong quá trình đào tạo</t>
        </is>
      </c>
      <c r="D20" s="27" t="inlineStr">
        <is>
          <t>Tỷ lệ các môn có đầy đủ tài liệu môn học trong quá trình đúng hạn</t>
        </is>
      </c>
      <c r="E20" s="28" t="inlineStr">
        <is>
          <t>%</t>
        </is>
      </c>
      <c r="F20" s="29" t="n">
        <v>1</v>
      </c>
      <c r="G20" s="23" t="n">
        <v>6</v>
      </c>
      <c r="H20" s="23" t="n">
        <v>6</v>
      </c>
      <c r="I20" s="11">
        <f>IF(OR(G20=0,G20=""),"",H20/G20)</f>
        <v/>
      </c>
      <c r="J20" s="24" t="n">
        <v>100</v>
      </c>
      <c r="K20" s="21" t="inlineStr"/>
    </row>
    <row r="21" ht="36" customHeight="1">
      <c r="A21" s="19" t="inlineStr">
        <is>
          <t>2</t>
        </is>
      </c>
      <c r="B21" s="20" t="inlineStr">
        <is>
          <t>Quản lý tài liệu GV</t>
        </is>
      </c>
      <c r="C21" s="21" t="inlineStr">
        <is>
          <t>Cung cấp thông tin hoàn thiện hợp đồng, thanh lý, thanh toán tiền giảng/trợ giảng/chấm bài</t>
        </is>
      </c>
      <c r="D21" s="21" t="inlineStr">
        <is>
          <t>Tỷ lệ giảng viên được cập nhật thông tin theo đúng tiến độ và kế hoạch vận hành</t>
        </is>
      </c>
      <c r="E21" s="22" t="inlineStr">
        <is>
          <t>%</t>
        </is>
      </c>
      <c r="F21" s="10" t="n">
        <v>1</v>
      </c>
      <c r="G21" s="23" t="n">
        <v>10</v>
      </c>
      <c r="H21" s="23" t="n">
        <v>10</v>
      </c>
      <c r="I21" s="11">
        <f>IF(OR(G21=0,G21=""),"",H21/G21)</f>
        <v/>
      </c>
      <c r="J21" s="24" t="n">
        <v>100</v>
      </c>
      <c r="K21" s="21" t="inlineStr"/>
    </row>
    <row r="22" ht="36" customHeight="1">
      <c r="A22" s="25" t="inlineStr">
        <is>
          <t>3</t>
        </is>
      </c>
      <c r="B22" s="26" t="inlineStr">
        <is>
          <t>Vận hành Lớp học</t>
        </is>
      </c>
      <c r="C22" s="27" t="inlineStr">
        <is>
          <t>Tổ chức lớp học, làm &amp; thông báo TKB, tạo lớp Moodle, cấp account GV &amp; SV, enroll môn</t>
        </is>
      </c>
      <c r="D22" s="27" t="inlineStr">
        <is>
          <t>Tỷ lệ các lớp được set up theo kế hoạch (Làm &amp; TB TKB, Moodle, accounts, enroll GV/SV)</t>
        </is>
      </c>
      <c r="E22" s="28" t="inlineStr">
        <is>
          <t>%</t>
        </is>
      </c>
      <c r="F22" s="29" t="n">
        <v>1</v>
      </c>
      <c r="G22" s="23" t="n">
        <v>16</v>
      </c>
      <c r="H22" s="23" t="n">
        <v>16</v>
      </c>
      <c r="I22" s="11">
        <f>IF(OR(G22=0,G22=""),"",H22/G22)</f>
        <v/>
      </c>
      <c r="J22" s="24" t="n">
        <v>100</v>
      </c>
      <c r="K22" s="21" t="inlineStr"/>
    </row>
    <row r="23" ht="36" customHeight="1">
      <c r="A23" s="19" t="inlineStr">
        <is>
          <t>4</t>
        </is>
      </c>
      <c r="B23" s="20" t="inlineStr">
        <is>
          <t>Quản lý điểm</t>
        </is>
      </c>
      <c r="C23" s="21" t="inlineStr">
        <is>
          <t>Quản lý điểm và quá trình đánh giá sinh viên theo quy chế</t>
        </is>
      </c>
      <c r="D23" s="21" t="inlineStr">
        <is>
          <t>Tỷ lệ các môn học hoàn thành điểm theo đúng kế hoạch</t>
        </is>
      </c>
      <c r="E23" s="22" t="inlineStr">
        <is>
          <t>%</t>
        </is>
      </c>
      <c r="F23" s="10" t="n">
        <v>1</v>
      </c>
      <c r="G23" s="23" t="n">
        <v>6</v>
      </c>
      <c r="H23" s="23" t="n">
        <v>6</v>
      </c>
      <c r="I23" s="11">
        <f>IF(OR(G23=0,G23=""),"",H23/G23)</f>
        <v/>
      </c>
      <c r="J23" s="24" t="n">
        <v>100</v>
      </c>
      <c r="K23" s="21" t="inlineStr"/>
    </row>
    <row r="24" ht="36" customHeight="1">
      <c r="A24" s="25" t="inlineStr">
        <is>
          <t>5</t>
        </is>
      </c>
      <c r="B24" s="26" t="inlineStr">
        <is>
          <t>Rà soát kết quả học tập</t>
        </is>
      </c>
      <c r="C24" s="27" t="inlineStr">
        <is>
          <t>Rà soát kết quả học tập, hồ sơ hoàn thành chương trình, xét điều kiện</t>
        </is>
      </c>
      <c r="D24" s="27" t="inlineStr">
        <is>
          <t>Tỷ lệ các môn học có file kết quả rà soát theo yêu cầu</t>
        </is>
      </c>
      <c r="E24" s="28" t="inlineStr">
        <is>
          <t>%</t>
        </is>
      </c>
      <c r="F24" s="29" t="n">
        <v>1</v>
      </c>
      <c r="G24" s="23" t="n">
        <v>6</v>
      </c>
      <c r="H24" s="23" t="n">
        <v>6</v>
      </c>
      <c r="I24" s="11">
        <f>IF(OR(G24=0,G24=""),"",H24/G24)</f>
        <v/>
      </c>
      <c r="J24" s="24" t="n">
        <v>100</v>
      </c>
      <c r="K24" s="21" t="inlineStr"/>
    </row>
    <row r="25" ht="36" customHeight="1">
      <c r="A25" s="19" t="inlineStr">
        <is>
          <t>6</t>
        </is>
      </c>
      <c r="B25" s="20" t="inlineStr">
        <is>
          <t>Giám sát Turnitin</t>
        </is>
      </c>
      <c r="C25" s="21" t="inlineStr">
        <is>
          <t>Giám sát liêm chính học thuật, kiểm tra trùng lặp bài tập/tiểu luận</t>
        </is>
      </c>
      <c r="D25" s="21" t="inlineStr">
        <is>
          <t>Tỷ lệ các môn học có báo cáo kết quả rà soát Turnitin theo yêu cầu</t>
        </is>
      </c>
      <c r="E25" s="22" t="inlineStr">
        <is>
          <t>%</t>
        </is>
      </c>
      <c r="F25" s="10" t="n">
        <v>1</v>
      </c>
      <c r="G25" s="23" t="n">
        <v>4</v>
      </c>
      <c r="H25" s="23" t="n">
        <v>4</v>
      </c>
      <c r="I25" s="11">
        <f>IF(OR(G25=0,G25=""),"",H25/G25)</f>
        <v/>
      </c>
      <c r="J25" s="24" t="n">
        <v>100</v>
      </c>
      <c r="K25" s="21" t="inlineStr"/>
    </row>
    <row r="26" ht="36" customHeight="1">
      <c r="A26" s="25" t="inlineStr">
        <is>
          <t>7</t>
        </is>
      </c>
      <c r="B26" s="26" t="inlineStr">
        <is>
          <t>Phản hồi GV &amp; SV</t>
        </is>
      </c>
      <c r="C26" s="27" t="inlineStr">
        <is>
          <t>Tiếp nhận và xử lý các phản hồi, giải đáp thắc mắc của SV &amp; GV</t>
        </is>
      </c>
      <c r="D26" s="27" t="inlineStr">
        <is>
          <t>Số lượng kiến nghị của sinh viên được xử lý kịp thời (SV KHÔNG phải phản hồi lên cấp cao hơn)</t>
        </is>
      </c>
      <c r="E26" s="28" t="inlineStr">
        <is>
          <t>%</t>
        </is>
      </c>
      <c r="F26" s="29" t="n">
        <v>1</v>
      </c>
      <c r="G26" s="23" t="n">
        <v>5</v>
      </c>
      <c r="H26" s="23" t="n">
        <v>5</v>
      </c>
      <c r="I26" s="11">
        <f>IF(OR(G26=0,G26=""),"",H26/G26)</f>
        <v/>
      </c>
      <c r="J26" s="24" t="n">
        <v>100</v>
      </c>
      <c r="K26" s="21" t="inlineStr"/>
    </row>
    <row r="27" ht="36" customHeight="1">
      <c r="A27" s="19" t="inlineStr">
        <is>
          <t>8</t>
        </is>
      </c>
      <c r="B27" s="20" t="inlineStr">
        <is>
          <t>Module report &amp; Khảo sát</t>
        </is>
      </c>
      <c r="C27" s="21" t="inlineStr">
        <is>
          <t>Hoàn thành module report và gửi báo cáo phản hồi của SV cho GV</t>
        </is>
      </c>
      <c r="D27" s="21" t="inlineStr">
        <is>
          <t>Tỉ lệ số môn học đã làm feedback và gửi report xử lý số liệu cho GV</t>
        </is>
      </c>
      <c r="E27" s="22" t="inlineStr">
        <is>
          <t>%</t>
        </is>
      </c>
      <c r="F27" s="10" t="n">
        <v>1</v>
      </c>
      <c r="G27" s="23" t="n">
        <v>7</v>
      </c>
      <c r="H27" s="23" t="n">
        <v>7</v>
      </c>
      <c r="I27" s="11">
        <f>IF(OR(G27=0,G27=""),"",H27/G27)</f>
        <v/>
      </c>
      <c r="J27" s="24" t="n">
        <v>100</v>
      </c>
      <c r="K27" s="21" t="inlineStr"/>
    </row>
    <row r="28" ht="36" customHeight="1">
      <c r="A28" s="25" t="inlineStr">
        <is>
          <t>9</t>
        </is>
      </c>
      <c r="B28" s="26" t="inlineStr">
        <is>
          <t>Quản lý tiến trình học tập SV</t>
        </is>
      </c>
      <c r="C28" s="27" t="inlineStr">
        <is>
          <t>Quản lý tiến trình học tập, hồ sơ SV, giải quyết thủ tục (giấy xác nhận, học lại...)</t>
        </is>
      </c>
      <c r="D28" s="27" t="inlineStr">
        <is>
          <t>Tỷ lệ hồ sơ sinh viên được cập nhật &amp; giải quyết, đồng bộ thông tin chính xác theo các mốc tiến độ</t>
        </is>
      </c>
      <c r="E28" s="28" t="inlineStr">
        <is>
          <t>%</t>
        </is>
      </c>
      <c r="F28" s="29" t="n">
        <v>1</v>
      </c>
      <c r="G28" s="23" t="n">
        <v>125</v>
      </c>
      <c r="H28" s="23" t="n">
        <v>125</v>
      </c>
      <c r="I28" s="11">
        <f>IF(OR(G28=0,G28=""),"",H28/G28)</f>
        <v/>
      </c>
      <c r="J28" s="24" t="n">
        <v>100</v>
      </c>
      <c r="K28" s="21" t="inlineStr"/>
    </row>
    <row r="29" ht="28" customHeight="1">
      <c r="A29" s="30" t="inlineStr">
        <is>
          <t>ĐIỂM TRUNG BÌNH NHÓM VẬN HÀNH (OPERATIONS — 50%)</t>
        </is>
      </c>
      <c r="I29" s="15">
        <f>AVERAGE(I19:I28)</f>
        <v/>
      </c>
      <c r="J29" s="31">
        <f>AVERAGE(J19:J28)</f>
        <v/>
      </c>
      <c r="K29" s="32" t="inlineStr">
        <is>
          <t>Tự động tính trung bình cộng 10 chỉ tiêu trên</t>
        </is>
      </c>
    </row>
    <row r="30" ht="10" customHeight="1"/>
    <row r="31" ht="28" customHeight="1">
      <c r="A31" s="33" t="inlineStr">
        <is>
          <t>PHẦN II: NHÓM KPI HOẠT ĐỘNG HỖ TRỢ HỌC TẬP (ACADEMIC SUPPORT) — TRỌNG SỐ: 20%</t>
        </is>
      </c>
    </row>
    <row r="32" ht="36" customHeight="1">
      <c r="A32" s="19" t="inlineStr">
        <is>
          <t>10</t>
        </is>
      </c>
      <c r="B32" s="20" t="inlineStr">
        <is>
          <t>Hoạt động ngoại khóa học tập</t>
        </is>
      </c>
      <c r="C32" s="21" t="inlineStr">
        <is>
          <t>Tổ chức hoạt động Tọa đàm, hội thảo chuyên đề, guest speaker, field trip, academic workshops</t>
        </is>
      </c>
      <c r="D32" s="21" t="inlineStr">
        <is>
          <t>Số lượng các hoạt động hỗ trợ học tập được triển khai theo kế hoạch</t>
        </is>
      </c>
      <c r="E32" s="22" t="inlineStr">
        <is>
          <t>%</t>
        </is>
      </c>
      <c r="F32" s="10" t="n">
        <v>1</v>
      </c>
      <c r="G32" s="23" t="n">
        <v>5</v>
      </c>
      <c r="H32" s="23" t="n">
        <v>5</v>
      </c>
      <c r="I32" s="11">
        <f>IF(OR(G32=0,G32=""),"",H32/G32)</f>
        <v/>
      </c>
      <c r="J32" s="24" t="n">
        <v>100</v>
      </c>
      <c r="K32" s="21" t="inlineStr"/>
    </row>
    <row r="33" ht="28" customHeight="1">
      <c r="A33" s="30" t="inlineStr">
        <is>
          <t>ĐIỂM NHÓM HOẠT ĐỘNG HỖ TRỢ HỌC TẬP (ACADEMIC SUPPORT — 20%)</t>
        </is>
      </c>
      <c r="I33" s="15">
        <f>I32</f>
        <v/>
      </c>
      <c r="J33" s="31">
        <f>J32</f>
        <v/>
      </c>
      <c r="K33" s="32" t="inlineStr">
        <is>
          <t>Trọng số 20% trong tổng điểm KPI toàn viện</t>
        </is>
      </c>
    </row>
    <row r="34" ht="10" customHeight="1"/>
    <row r="35" ht="28" customHeight="1">
      <c r="A35" s="34" t="inlineStr">
        <is>
          <t>PHẦN III: NHÓM KPI CÁC HOẠT ĐỘNG KHÁC (OTHER ACTIVITIES) — TRỌNG SỐ: 10%</t>
        </is>
      </c>
    </row>
    <row r="36" ht="36" customHeight="1">
      <c r="A36" s="25" t="inlineStr">
        <is>
          <t>11</t>
        </is>
      </c>
      <c r="B36" s="26" t="inlineStr">
        <is>
          <t>Tuyển sinh</t>
        </is>
      </c>
      <c r="C36" s="27" t="inlineStr">
        <is>
          <t>Tham gia công tác tuyển sinh, trực tư vấn, Open Day, đón tiếp thí sinh/phụ huynh</t>
        </is>
      </c>
      <c r="D36" s="27" t="inlineStr">
        <is>
          <t>Số lượng hoạt động tuyển sinh đã tham gia tích cực</t>
        </is>
      </c>
      <c r="E36" s="28" t="inlineStr">
        <is>
          <t>%</t>
        </is>
      </c>
      <c r="F36" s="29" t="n">
        <v>1</v>
      </c>
      <c r="G36" s="23" t="n">
        <v>11</v>
      </c>
      <c r="H36" s="23" t="n">
        <v>11</v>
      </c>
      <c r="I36" s="11">
        <f>IF(OR(G36=0,G36=""),"",H36/G36)</f>
        <v/>
      </c>
      <c r="J36" s="24" t="n">
        <v>100</v>
      </c>
      <c r="K36" s="21" t="inlineStr"/>
    </row>
    <row r="37" ht="36" customHeight="1">
      <c r="A37" s="19" t="inlineStr">
        <is>
          <t>12</t>
        </is>
      </c>
      <c r="B37" s="20" t="inlineStr">
        <is>
          <t>Hỗ trợ SV du học &amp; exchange</t>
        </is>
      </c>
      <c r="C37" s="21" t="inlineStr">
        <is>
          <t>Quản lý &amp; hỗ trợ sinh viên chuyển tiếp, trao đổi quốc tế</t>
        </is>
      </c>
      <c r="D37" s="21" t="inlineStr">
        <is>
          <t>Tỷ lệ sinh viên có nhu cầu chuyển tiếp/trao đổi được hỗ trợ hoàn thiện hồ sơ và xuất bảng điểm kịp thời</t>
        </is>
      </c>
      <c r="E37" s="22" t="inlineStr">
        <is>
          <t>%</t>
        </is>
      </c>
      <c r="F37" s="10" t="n">
        <v>1</v>
      </c>
      <c r="G37" s="23" t="n">
        <v>1</v>
      </c>
      <c r="H37" s="23" t="n">
        <v>1</v>
      </c>
      <c r="I37" s="11">
        <f>IF(OR(G37=0,G37=""),"",H37/G37)</f>
        <v/>
      </c>
      <c r="J37" s="24" t="n">
        <v>100</v>
      </c>
      <c r="K37" s="21" t="inlineStr"/>
    </row>
    <row r="38" ht="36" customHeight="1">
      <c r="A38" s="25" t="inlineStr">
        <is>
          <t>13</t>
        </is>
      </c>
      <c r="B38" s="26" t="inlineStr">
        <is>
          <t>Hoạt động chung của Viện</t>
        </is>
      </c>
      <c r="C38" s="27" t="inlineStr">
        <is>
          <t>Tham gia các hoạt động phong trào, sự kiện, hỗ trợ các ban chuyên môn của Viện</t>
        </is>
      </c>
      <c r="D38" s="27" t="inlineStr">
        <is>
          <t>Số lượng hoạt động chung đã tham gia đóng góp</t>
        </is>
      </c>
      <c r="E38" s="28" t="inlineStr">
        <is>
          <t>%</t>
        </is>
      </c>
      <c r="F38" s="29" t="n">
        <v>1</v>
      </c>
      <c r="G38" s="23" t="n">
        <v>5</v>
      </c>
      <c r="H38" s="23" t="n">
        <v>5</v>
      </c>
      <c r="I38" s="11">
        <f>IF(OR(G38=0,G38=""),"",H38/G38)</f>
        <v/>
      </c>
      <c r="J38" s="24" t="n">
        <v>100</v>
      </c>
      <c r="K38" s="21" t="inlineStr"/>
    </row>
    <row r="39" ht="28" customHeight="1">
      <c r="A39" s="30" t="inlineStr">
        <is>
          <t>ĐIỂM TRUNG BÌNH CÁC HOẠT ĐỘNG KHÁC (OTHER ACTIVITIES — 10%)</t>
        </is>
      </c>
      <c r="I39" s="15">
        <f>AVERAGE(I36:I38)</f>
        <v/>
      </c>
      <c r="J39" s="31">
        <f>AVERAGE(J36:J38)</f>
        <v/>
      </c>
      <c r="K39" s="32" t="inlineStr">
        <is>
          <t>Trọng số 10% trong tổng điểm KPI toàn viện</t>
        </is>
      </c>
    </row>
    <row r="40" ht="14" customHeight="1"/>
    <row r="41" ht="26" customHeight="1">
      <c r="A41" s="35" t="inlineStr">
        <is>
          <t>QUY ƯỚC MÀU SẮC:</t>
        </is>
      </c>
      <c r="C41" s="36" t="inlineStr">
        <is>
          <t>Ô màu vàng: Coordinator tự nhập số liệu thực tế</t>
        </is>
      </c>
      <c r="E41" s="37" t="inlineStr">
        <is>
          <t>Ô màu xanh lá: Công thức tự động tính toán (KHÔNG SỬA)</t>
        </is>
      </c>
      <c r="H41" s="38" t="inlineStr">
        <is>
          <t>Ô màu cam: Điểm đánh giá của Quản lý / Trưởng Ban (Thang 1-100)</t>
        </is>
      </c>
    </row>
  </sheetData>
  <mergeCells count="40">
    <mergeCell ref="G12:H12"/>
    <mergeCell ref="C6:D6"/>
    <mergeCell ref="A39:H39"/>
    <mergeCell ref="J5:K5"/>
    <mergeCell ref="B9:K9"/>
    <mergeCell ref="J14:K14"/>
    <mergeCell ref="G11:H11"/>
    <mergeCell ref="C5:D5"/>
    <mergeCell ref="J10:K10"/>
    <mergeCell ref="B15:E15"/>
    <mergeCell ref="J13:K13"/>
    <mergeCell ref="A1:K1"/>
    <mergeCell ref="G7:H7"/>
    <mergeCell ref="A41:B41"/>
    <mergeCell ref="G10:H10"/>
    <mergeCell ref="J15:K15"/>
    <mergeCell ref="C41:D41"/>
    <mergeCell ref="G13:H13"/>
    <mergeCell ref="G6:K6"/>
    <mergeCell ref="H41:K41"/>
    <mergeCell ref="A18:K18"/>
    <mergeCell ref="J11:K11"/>
    <mergeCell ref="E41:G41"/>
    <mergeCell ref="A3:K3"/>
    <mergeCell ref="B12:E12"/>
    <mergeCell ref="G15:H15"/>
    <mergeCell ref="J7:K7"/>
    <mergeCell ref="A2:K2"/>
    <mergeCell ref="G5:H5"/>
    <mergeCell ref="B11:E11"/>
    <mergeCell ref="G14:H14"/>
    <mergeCell ref="A33:H33"/>
    <mergeCell ref="B14:E14"/>
    <mergeCell ref="A35:K35"/>
    <mergeCell ref="C7:D7"/>
    <mergeCell ref="J12:K12"/>
    <mergeCell ref="A29:H29"/>
    <mergeCell ref="B13:E13"/>
    <mergeCell ref="B10:E10"/>
    <mergeCell ref="A31:K3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4"/>
  <sheetViews>
    <sheetView showGridLines="1" workbookViewId="0">
      <selection activeCell="A1" sqref="A1"/>
    </sheetView>
  </sheetViews>
  <sheetFormatPr baseColWidth="8" defaultRowHeight="15" outlineLevelCol="0"/>
  <cols>
    <col width="14" customWidth="1" min="1" max="1"/>
    <col width="12" customWidth="1" min="2" max="2"/>
    <col width="12" customWidth="1" min="3" max="3"/>
    <col width="36" customWidth="1" min="4" max="4"/>
    <col width="10" customWidth="1" min="5" max="5"/>
    <col width="12"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6" customWidth="1" min="14" max="14"/>
    <col width="18" customWidth="1" min="15" max="15"/>
    <col width="16" customWidth="1" min="16" max="16"/>
    <col width="16" customWidth="1" min="17" max="17"/>
  </cols>
  <sheetData>
    <row r="1" ht="34" customHeight="1">
      <c r="A1" s="2" t="inlineStr">
        <is>
          <t>PHẦN IV: KẾT QUẢ HỌC TẬP VÀ KỶ LUẬT CỦA SINH VIÊN (STUDENT RESULTS &amp; DISCIPLINE) — TRỌNG SỐ: 20%</t>
        </is>
      </c>
    </row>
    <row r="2" ht="20" customHeight="1">
      <c r="A2" s="3" t="inlineStr">
        <is>
          <t>Bảng theo dõi và thống kê chi tiết theo từng lớp/môn học do Coordinator trực tiếp phụ trách trong kỳ học</t>
        </is>
      </c>
    </row>
    <row r="3" ht="26" customHeight="1">
      <c r="A3" s="39" t="inlineStr">
        <is>
          <t>THÔNG TIN LỚP HỌC &amp; MÔN HỌC</t>
        </is>
      </c>
      <c r="G3" s="40" t="inlineStr">
        <is>
          <t>MỤC TIÊU ĐẦU KỲ (KẾ HOẠCH)</t>
        </is>
      </c>
      <c r="J3" s="41" t="inlineStr">
        <is>
          <t>KẾT QUẢ THỰC TẾ CUỐI KỲ</t>
        </is>
      </c>
      <c r="N3" s="7" t="inlineStr">
        <is>
          <t>MỨC ĐỘ HOÀN THÀNH (%) (TỰ ĐỘNG TÍNH)</t>
        </is>
      </c>
    </row>
    <row r="4" ht="32" customHeight="1">
      <c r="A4" s="8" t="inlineStr">
        <is>
          <t>Chương trình</t>
        </is>
      </c>
      <c r="B4" s="8" t="inlineStr">
        <is>
          <t>Kỳ học</t>
        </is>
      </c>
      <c r="C4" s="8" t="inlineStr">
        <is>
          <t>Khóa SV</t>
        </is>
      </c>
      <c r="D4" s="8" t="inlineStr">
        <is>
          <t>Tên môn học</t>
        </is>
      </c>
      <c r="E4" s="8" t="inlineStr">
        <is>
          <t>Số GV</t>
        </is>
      </c>
      <c r="F4" s="8" t="inlineStr">
        <is>
          <t>Số SV</t>
        </is>
      </c>
      <c r="G4" s="8" t="inlineStr">
        <is>
          <t>Kỷ luật
(Chuyên cần)</t>
        </is>
      </c>
      <c r="H4" s="8" t="inlineStr">
        <is>
          <t>Học tập
(Pass lần 1)</t>
        </is>
      </c>
      <c r="I4" s="8" t="inlineStr">
        <is>
          <t>Học tập
(Nộp bài hạn 1)</t>
        </is>
      </c>
      <c r="J4" s="8" t="inlineStr">
        <is>
          <t>Kỷ luật
(Chuyên cần TT)</t>
        </is>
      </c>
      <c r="K4" s="8" t="inlineStr">
        <is>
          <t>Học tập
(Pass lần 1 TT)</t>
        </is>
      </c>
      <c r="L4" s="8" t="inlineStr">
        <is>
          <t>Học tập
(Pass Resit TT)</t>
        </is>
      </c>
      <c r="M4" s="8" t="inlineStr">
        <is>
          <t>Học tập
(Nộp bài TT)</t>
        </is>
      </c>
      <c r="N4" s="8" t="inlineStr">
        <is>
          <t>Hoàn thành
Chuyên cần (%)</t>
        </is>
      </c>
      <c r="O4" s="8" t="inlineStr">
        <is>
          <t>Hiệu suất học tập
(Có bù Resit) (%)</t>
        </is>
      </c>
      <c r="P4" s="8" t="inlineStr">
        <is>
          <t>Hoàn thành
Nộp bài (%)</t>
        </is>
      </c>
      <c r="Q4" s="8" t="inlineStr">
        <is>
          <t>ĐIỂM TRUNG BÌNH
MÔN HỌC (%)</t>
        </is>
      </c>
    </row>
    <row r="5" ht="24" customHeight="1">
      <c r="A5" s="42" t="inlineStr">
        <is>
          <t>Năm 1</t>
        </is>
      </c>
      <c r="B5" s="42" t="inlineStr">
        <is>
          <t>SEM 2</t>
        </is>
      </c>
      <c r="C5" s="42" t="inlineStr">
        <is>
          <t>I21 MT</t>
        </is>
      </c>
      <c r="D5" s="20" t="inlineStr">
        <is>
          <t>ENGLISH (Upper -Intermediate Level 3)</t>
        </is>
      </c>
      <c r="E5" s="43" t="n">
        <v>13</v>
      </c>
      <c r="F5" s="43" t="n">
        <v>85</v>
      </c>
      <c r="G5" s="44" t="n">
        <v>0.9</v>
      </c>
      <c r="H5" s="44" t="n">
        <v>0.7</v>
      </c>
      <c r="I5" s="44" t="n">
        <v>1</v>
      </c>
      <c r="J5" s="45">
        <f>83/85</f>
        <v/>
      </c>
      <c r="K5" s="45">
        <f>57/71</f>
        <v/>
      </c>
      <c r="L5" s="45">
        <f>13/26</f>
        <v/>
      </c>
      <c r="M5" s="45" t="n">
        <v>1</v>
      </c>
      <c r="N5" s="11">
        <f>IF(OR(G5=0,G5="",J5=""),"",J5/G5)</f>
        <v/>
      </c>
      <c r="O5" s="11">
        <f>IF(OR(H5=0,H5="",K5=""),"",IF((K5/H5)&gt;=1,K5/H5,MIN(1,(K5/H5)+((L5/H5)*1))))</f>
        <v/>
      </c>
      <c r="P5" s="11">
        <f>IF(OR(I5=0,I5="",M5=""),"",M5/I5)</f>
        <v/>
      </c>
      <c r="Q5" s="11">
        <f>IF(N5="","",AVERAGE(N5:P5))</f>
        <v/>
      </c>
    </row>
    <row r="6" ht="24" customHeight="1">
      <c r="A6" s="46" t="inlineStr">
        <is>
          <t>Năm 1</t>
        </is>
      </c>
      <c r="B6" s="46" t="inlineStr">
        <is>
          <t>SEM 2</t>
        </is>
      </c>
      <c r="C6" s="46" t="inlineStr">
        <is>
          <t>I21 MT</t>
        </is>
      </c>
      <c r="D6" s="26" t="inlineStr">
        <is>
          <t>ENGLISH (Advanced Level 4)</t>
        </is>
      </c>
      <c r="E6" s="47" t="n">
        <v>11</v>
      </c>
      <c r="F6" s="47" t="n">
        <v>92</v>
      </c>
      <c r="G6" s="44" t="n">
        <v>0.9</v>
      </c>
      <c r="H6" s="44" t="n">
        <v>0.5</v>
      </c>
      <c r="I6" s="44" t="n">
        <v>0.95</v>
      </c>
      <c r="J6" s="45">
        <f>91/92</f>
        <v/>
      </c>
      <c r="K6" s="45">
        <f>36/77</f>
        <v/>
      </c>
      <c r="L6" s="45">
        <f>33/55</f>
        <v/>
      </c>
      <c r="M6" s="45">
        <f>90/91</f>
        <v/>
      </c>
      <c r="N6" s="11">
        <f>IF(OR(G6=0,G6="",J6=""),"",J6/G6)</f>
        <v/>
      </c>
      <c r="O6" s="11">
        <f>IF(OR(H6=0,H6="",K6=""),"",IF((K6/H6)&gt;=1,K6/H6,MIN(1,(K6/H6)+((L6/H6)*1))))</f>
        <v/>
      </c>
      <c r="P6" s="11">
        <f>IF(OR(I6=0,I6="",M6=""),"",M6/I6)</f>
        <v/>
      </c>
      <c r="Q6" s="11">
        <f>IF(N6="","",AVERAGE(N6:P6))</f>
        <v/>
      </c>
    </row>
    <row r="7" ht="24" customHeight="1">
      <c r="A7" s="42" t="inlineStr">
        <is>
          <t>Năm 1</t>
        </is>
      </c>
      <c r="B7" s="42" t="inlineStr">
        <is>
          <t>SEM 2</t>
        </is>
      </c>
      <c r="C7" s="42" t="inlineStr">
        <is>
          <t>I21 MT</t>
        </is>
      </c>
      <c r="D7" s="20" t="inlineStr">
        <is>
          <t>Basic Economics</t>
        </is>
      </c>
      <c r="E7" s="43" t="n">
        <v>2</v>
      </c>
      <c r="F7" s="43" t="n">
        <v>83</v>
      </c>
      <c r="G7" s="44" t="n">
        <v>0.85</v>
      </c>
      <c r="H7" s="44" t="n">
        <v>0.7</v>
      </c>
      <c r="I7" s="44" t="n">
        <v>0.95</v>
      </c>
      <c r="J7" s="45" t="n">
        <v>0.9399999999999999</v>
      </c>
      <c r="K7" s="45">
        <f>65/(83-5)</f>
        <v/>
      </c>
      <c r="L7" s="45">
        <f>7/15</f>
        <v/>
      </c>
      <c r="M7" s="45" t="n">
        <v>0.97</v>
      </c>
      <c r="N7" s="11">
        <f>IF(OR(G7=0,G7="",J7=""),"",J7/G7)</f>
        <v/>
      </c>
      <c r="O7" s="11">
        <f>IF(OR(H7=0,H7="",K7=""),"",IF((K7/H7)&gt;=1,K7/H7,MIN(1,(K7/H7)+((L7/H7)*1))))</f>
        <v/>
      </c>
      <c r="P7" s="11">
        <f>IF(OR(I7=0,I7="",M7=""),"",M7/I7)</f>
        <v/>
      </c>
      <c r="Q7" s="11">
        <f>IF(N7="","",AVERAGE(N7:P7))</f>
        <v/>
      </c>
    </row>
    <row r="8" ht="24" customHeight="1">
      <c r="A8" s="46" t="inlineStr">
        <is>
          <t>Năm 1</t>
        </is>
      </c>
      <c r="B8" s="46" t="inlineStr">
        <is>
          <t>SEM 2</t>
        </is>
      </c>
      <c r="C8" s="46" t="inlineStr">
        <is>
          <t>I22 MX</t>
        </is>
      </c>
      <c r="D8" s="26" t="inlineStr">
        <is>
          <t>ENGLISH (Intermediate Level 2)</t>
        </is>
      </c>
      <c r="E8" s="47" t="n">
        <v>2</v>
      </c>
      <c r="F8" s="47" t="n">
        <v>32</v>
      </c>
      <c r="G8" s="44" t="n">
        <v>0.9</v>
      </c>
      <c r="H8" s="44" t="n">
        <v>0.7</v>
      </c>
      <c r="I8" s="44" t="n">
        <v>1</v>
      </c>
      <c r="J8" s="45">
        <f>32/32</f>
        <v/>
      </c>
      <c r="K8" s="45">
        <f>16/19</f>
        <v/>
      </c>
      <c r="L8" s="45">
        <f>11/14</f>
        <v/>
      </c>
      <c r="M8" s="45" t="n">
        <v>1</v>
      </c>
      <c r="N8" s="11">
        <f>IF(OR(G8=0,G8="",J8=""),"",J8/G8)</f>
        <v/>
      </c>
      <c r="O8" s="11">
        <f>IF(OR(H8=0,H8="",K8=""),"",IF((K8/H8)&gt;=1,K8/H8,MIN(1,(K8/H8)+((L8/H8)*1))))</f>
        <v/>
      </c>
      <c r="P8" s="11">
        <f>IF(OR(I8=0,I8="",M8=""),"",M8/I8)</f>
        <v/>
      </c>
      <c r="Q8" s="11">
        <f>IF(N8="","",AVERAGE(N8:P8))</f>
        <v/>
      </c>
    </row>
    <row r="9" ht="24" customHeight="1">
      <c r="A9" s="42" t="inlineStr">
        <is>
          <t>Năm 1</t>
        </is>
      </c>
      <c r="B9" s="42" t="inlineStr">
        <is>
          <t>SEM 2</t>
        </is>
      </c>
      <c r="C9" s="42" t="inlineStr">
        <is>
          <t>I22 MX</t>
        </is>
      </c>
      <c r="D9" s="20" t="inlineStr">
        <is>
          <t>ENGLISH (Upper -Intermediate Level 3)</t>
        </is>
      </c>
      <c r="E9" s="43" t="n">
        <v>2</v>
      </c>
      <c r="F9" s="43" t="n">
        <v>37</v>
      </c>
      <c r="G9" s="44" t="n">
        <v>0.9</v>
      </c>
      <c r="H9" s="44" t="n">
        <v>0.7</v>
      </c>
      <c r="I9" s="44" t="n">
        <v>0.95</v>
      </c>
      <c r="J9" s="45">
        <f>36/37</f>
        <v/>
      </c>
      <c r="K9" s="45">
        <f>23/36</f>
        <v/>
      </c>
      <c r="L9" s="45">
        <f>2/5</f>
        <v/>
      </c>
      <c r="M9" s="45">
        <f>37/37</f>
        <v/>
      </c>
      <c r="N9" s="11">
        <f>IF(OR(G9=0,G9="",J9=""),"",J9/G9)</f>
        <v/>
      </c>
      <c r="O9" s="11">
        <f>IF(OR(H9=0,H9="",K9=""),"",IF((K9/H9)&gt;=1,K9/H9,MIN(1,(K9/H9)+((L9/H9)*1))))</f>
        <v/>
      </c>
      <c r="P9" s="11">
        <f>IF(OR(I9=0,I9="",M9=""),"",M9/I9)</f>
        <v/>
      </c>
      <c r="Q9" s="11">
        <f>IF(N9="","",AVERAGE(N9:P9))</f>
        <v/>
      </c>
    </row>
    <row r="10" ht="24" customHeight="1">
      <c r="A10" s="46" t="inlineStr">
        <is>
          <t>Năm 1</t>
        </is>
      </c>
      <c r="B10" s="46" t="inlineStr">
        <is>
          <t>SEM 2</t>
        </is>
      </c>
      <c r="C10" s="46" t="inlineStr">
        <is>
          <t>I22 MX</t>
        </is>
      </c>
      <c r="D10" s="26" t="inlineStr">
        <is>
          <t>Study skills</t>
        </is>
      </c>
      <c r="E10" s="47" t="n">
        <v>2</v>
      </c>
      <c r="F10" s="47" t="n">
        <v>75</v>
      </c>
      <c r="G10" s="44" t="n">
        <v>0.85</v>
      </c>
      <c r="H10" s="44" t="n">
        <v>0.7</v>
      </c>
      <c r="I10" s="44" t="n">
        <v>0.95</v>
      </c>
      <c r="J10" s="45" t="n">
        <v>0.88</v>
      </c>
      <c r="K10" s="45">
        <f>31/64</f>
        <v/>
      </c>
      <c r="L10" s="45" t="n">
        <v>0.78</v>
      </c>
      <c r="M10" s="45" t="n">
        <v>0.96</v>
      </c>
      <c r="N10" s="11">
        <f>IF(OR(G10=0,G10="",J10=""),"",J10/G10)</f>
        <v/>
      </c>
      <c r="O10" s="11">
        <f>IF(OR(H10=0,H10="",K10=""),"",IF((K10/H10)&gt;=1,K10/H10,MIN(1,(K10/H10)+((L10/H10)*1))))</f>
        <v/>
      </c>
      <c r="P10" s="11">
        <f>IF(OR(I10=0,I10="",M10=""),"",M10/I10)</f>
        <v/>
      </c>
      <c r="Q10" s="11">
        <f>IF(N10="","",AVERAGE(N10:P10))</f>
        <v/>
      </c>
    </row>
    <row r="11" ht="24" customHeight="1">
      <c r="A11" s="48" t="inlineStr"/>
      <c r="B11" s="48" t="inlineStr"/>
      <c r="C11" s="48" t="inlineStr"/>
      <c r="D11" s="49" t="inlineStr"/>
      <c r="E11" s="23" t="n"/>
      <c r="F11" s="23" t="n"/>
      <c r="G11" s="50" t="n"/>
      <c r="H11" s="50" t="n"/>
      <c r="I11" s="50" t="n"/>
      <c r="J11" s="45" t="n"/>
      <c r="K11" s="45" t="n"/>
      <c r="L11" s="45" t="n"/>
      <c r="M11" s="45" t="n"/>
      <c r="N11" s="11">
        <f>IF(OR(G11=0,G11="",J11=""),"",J11/G11)</f>
        <v/>
      </c>
      <c r="O11" s="11">
        <f>IF(OR(H11=0,H11="",K11=""),"",IF((K11/H11)&gt;=1,K11/H11,MIN(1,(K11/H11)+((L11/H11)*1))))</f>
        <v/>
      </c>
      <c r="P11" s="11">
        <f>IF(OR(I11=0,I11="",M11=""),"",M11/I11)</f>
        <v/>
      </c>
      <c r="Q11" s="11">
        <f>IF(N11="","",AVERAGE(N11:P11))</f>
        <v/>
      </c>
    </row>
    <row r="12" ht="24" customHeight="1">
      <c r="A12" s="48" t="inlineStr"/>
      <c r="B12" s="48" t="inlineStr"/>
      <c r="C12" s="48" t="inlineStr"/>
      <c r="D12" s="49" t="inlineStr"/>
      <c r="E12" s="23" t="n"/>
      <c r="F12" s="23" t="n"/>
      <c r="G12" s="50" t="n"/>
      <c r="H12" s="50" t="n"/>
      <c r="I12" s="50" t="n"/>
      <c r="J12" s="45" t="n"/>
      <c r="K12" s="45" t="n"/>
      <c r="L12" s="45" t="n"/>
      <c r="M12" s="45" t="n"/>
      <c r="N12" s="11">
        <f>IF(OR(G12=0,G12="",J12=""),"",J12/G12)</f>
        <v/>
      </c>
      <c r="O12" s="11">
        <f>IF(OR(H12=0,H12="",K12=""),"",IF((K12/H12)&gt;=1,K12/H12,MIN(1,(K12/H12)+((L12/H12)*1))))</f>
        <v/>
      </c>
      <c r="P12" s="11">
        <f>IF(OR(I12=0,I12="",M12=""),"",M12/I12)</f>
        <v/>
      </c>
      <c r="Q12" s="11">
        <f>IF(N12="","",AVERAGE(N12:P12))</f>
        <v/>
      </c>
    </row>
    <row r="13" ht="24" customHeight="1">
      <c r="A13" s="48" t="inlineStr"/>
      <c r="B13" s="48" t="inlineStr"/>
      <c r="C13" s="48" t="inlineStr"/>
      <c r="D13" s="49" t="inlineStr"/>
      <c r="E13" s="23" t="n"/>
      <c r="F13" s="23" t="n"/>
      <c r="G13" s="50" t="n"/>
      <c r="H13" s="50" t="n"/>
      <c r="I13" s="50" t="n"/>
      <c r="J13" s="45" t="n"/>
      <c r="K13" s="45" t="n"/>
      <c r="L13" s="45" t="n"/>
      <c r="M13" s="45" t="n"/>
      <c r="N13" s="11">
        <f>IF(OR(G13=0,G13="",J13=""),"",J13/G13)</f>
        <v/>
      </c>
      <c r="O13" s="11">
        <f>IF(OR(H13=0,H13="",K13=""),"",IF((K13/H13)&gt;=1,K13/H13,MIN(1,(K13/H13)+((L13/H13)*1))))</f>
        <v/>
      </c>
      <c r="P13" s="11">
        <f>IF(OR(I13=0,I13="",M13=""),"",M13/I13)</f>
        <v/>
      </c>
      <c r="Q13" s="11">
        <f>IF(N13="","",AVERAGE(N13:P13))</f>
        <v/>
      </c>
    </row>
    <row r="14" ht="24" customHeight="1">
      <c r="A14" s="48" t="inlineStr"/>
      <c r="B14" s="48" t="inlineStr"/>
      <c r="C14" s="48" t="inlineStr"/>
      <c r="D14" s="49" t="inlineStr"/>
      <c r="E14" s="23" t="n"/>
      <c r="F14" s="23" t="n"/>
      <c r="G14" s="50" t="n"/>
      <c r="H14" s="50" t="n"/>
      <c r="I14" s="50" t="n"/>
      <c r="J14" s="45" t="n"/>
      <c r="K14" s="45" t="n"/>
      <c r="L14" s="45" t="n"/>
      <c r="M14" s="45" t="n"/>
      <c r="N14" s="11">
        <f>IF(OR(G14=0,G14="",J14=""),"",J14/G14)</f>
        <v/>
      </c>
      <c r="O14" s="11">
        <f>IF(OR(H14=0,H14="",K14=""),"",IF((K14/H14)&gt;=1,K14/H14,MIN(1,(K14/H14)+((L14/H14)*1))))</f>
        <v/>
      </c>
      <c r="P14" s="11">
        <f>IF(OR(I14=0,I14="",M14=""),"",M14/I14)</f>
        <v/>
      </c>
      <c r="Q14" s="11">
        <f>IF(N14="","",AVERAGE(N14:P14))</f>
        <v/>
      </c>
    </row>
    <row r="15" ht="24" customHeight="1">
      <c r="A15" s="48" t="inlineStr"/>
      <c r="B15" s="48" t="inlineStr"/>
      <c r="C15" s="48" t="inlineStr"/>
      <c r="D15" s="49" t="inlineStr"/>
      <c r="E15" s="23" t="n"/>
      <c r="F15" s="23" t="n"/>
      <c r="G15" s="50" t="n"/>
      <c r="H15" s="50" t="n"/>
      <c r="I15" s="50" t="n"/>
      <c r="J15" s="45" t="n"/>
      <c r="K15" s="45" t="n"/>
      <c r="L15" s="45" t="n"/>
      <c r="M15" s="45" t="n"/>
      <c r="N15" s="11">
        <f>IF(OR(G15=0,G15="",J15=""),"",J15/G15)</f>
        <v/>
      </c>
      <c r="O15" s="11">
        <f>IF(OR(H15=0,H15="",K15=""),"",IF((K15/H15)&gt;=1,K15/H15,MIN(1,(K15/H15)+((L15/H15)*1))))</f>
        <v/>
      </c>
      <c r="P15" s="11">
        <f>IF(OR(I15=0,I15="",M15=""),"",M15/I15)</f>
        <v/>
      </c>
      <c r="Q15" s="11">
        <f>IF(N15="","",AVERAGE(N15:P15))</f>
        <v/>
      </c>
    </row>
    <row r="16" ht="24" customHeight="1">
      <c r="A16" s="48" t="inlineStr"/>
      <c r="B16" s="48" t="inlineStr"/>
      <c r="C16" s="48" t="inlineStr"/>
      <c r="D16" s="49" t="inlineStr"/>
      <c r="E16" s="23" t="n"/>
      <c r="F16" s="23" t="n"/>
      <c r="G16" s="50" t="n"/>
      <c r="H16" s="50" t="n"/>
      <c r="I16" s="50" t="n"/>
      <c r="J16" s="45" t="n"/>
      <c r="K16" s="45" t="n"/>
      <c r="L16" s="45" t="n"/>
      <c r="M16" s="45" t="n"/>
      <c r="N16" s="11">
        <f>IF(OR(G16=0,G16="",J16=""),"",J16/G16)</f>
        <v/>
      </c>
      <c r="O16" s="11">
        <f>IF(OR(H16=0,H16="",K16=""),"",IF((K16/H16)&gt;=1,K16/H16,MIN(1,(K16/H16)+((L16/H16)*1))))</f>
        <v/>
      </c>
      <c r="P16" s="11">
        <f>IF(OR(I16=0,I16="",M16=""),"",M16/I16)</f>
        <v/>
      </c>
      <c r="Q16" s="11">
        <f>IF(N16="","",AVERAGE(N16:P16))</f>
        <v/>
      </c>
    </row>
    <row r="17" ht="24" customHeight="1">
      <c r="A17" s="48" t="inlineStr"/>
      <c r="B17" s="48" t="inlineStr"/>
      <c r="C17" s="48" t="inlineStr"/>
      <c r="D17" s="49" t="inlineStr"/>
      <c r="E17" s="23" t="n"/>
      <c r="F17" s="23" t="n"/>
      <c r="G17" s="50" t="n"/>
      <c r="H17" s="50" t="n"/>
      <c r="I17" s="50" t="n"/>
      <c r="J17" s="45" t="n"/>
      <c r="K17" s="45" t="n"/>
      <c r="L17" s="45" t="n"/>
      <c r="M17" s="45" t="n"/>
      <c r="N17" s="11">
        <f>IF(OR(G17=0,G17="",J17=""),"",J17/G17)</f>
        <v/>
      </c>
      <c r="O17" s="11">
        <f>IF(OR(H17=0,H17="",K17=""),"",IF((K17/H17)&gt;=1,K17/H17,MIN(1,(K17/H17)+((L17/H17)*1))))</f>
        <v/>
      </c>
      <c r="P17" s="11">
        <f>IF(OR(I17=0,I17="",M17=""),"",M17/I17)</f>
        <v/>
      </c>
      <c r="Q17" s="11">
        <f>IF(N17="","",AVERAGE(N17:P17))</f>
        <v/>
      </c>
    </row>
    <row r="18" ht="24" customHeight="1">
      <c r="A18" s="48" t="inlineStr"/>
      <c r="B18" s="48" t="inlineStr"/>
      <c r="C18" s="48" t="inlineStr"/>
      <c r="D18" s="49" t="inlineStr"/>
      <c r="E18" s="23" t="n"/>
      <c r="F18" s="23" t="n"/>
      <c r="G18" s="50" t="n"/>
      <c r="H18" s="50" t="n"/>
      <c r="I18" s="50" t="n"/>
      <c r="J18" s="45" t="n"/>
      <c r="K18" s="45" t="n"/>
      <c r="L18" s="45" t="n"/>
      <c r="M18" s="45" t="n"/>
      <c r="N18" s="11">
        <f>IF(OR(G18=0,G18="",J18=""),"",J18/G18)</f>
        <v/>
      </c>
      <c r="O18" s="11">
        <f>IF(OR(H18=0,H18="",K18=""),"",IF((K18/H18)&gt;=1,K18/H18,MIN(1,(K18/H18)+((L18/H18)*1))))</f>
        <v/>
      </c>
      <c r="P18" s="11">
        <f>IF(OR(I18=0,I18="",M18=""),"",M18/I18)</f>
        <v/>
      </c>
      <c r="Q18" s="11">
        <f>IF(N18="","",AVERAGE(N18:P18))</f>
        <v/>
      </c>
    </row>
    <row r="19" ht="24" customHeight="1">
      <c r="A19" s="48" t="inlineStr"/>
      <c r="B19" s="48" t="inlineStr"/>
      <c r="C19" s="48" t="inlineStr"/>
      <c r="D19" s="49" t="inlineStr"/>
      <c r="E19" s="23" t="n"/>
      <c r="F19" s="23" t="n"/>
      <c r="G19" s="50" t="n"/>
      <c r="H19" s="50" t="n"/>
      <c r="I19" s="50" t="n"/>
      <c r="J19" s="45" t="n"/>
      <c r="K19" s="45" t="n"/>
      <c r="L19" s="45" t="n"/>
      <c r="M19" s="45" t="n"/>
      <c r="N19" s="11">
        <f>IF(OR(G19=0,G19="",J19=""),"",J19/G19)</f>
        <v/>
      </c>
      <c r="O19" s="11">
        <f>IF(OR(H19=0,H19="",K19=""),"",IF((K19/H19)&gt;=1,K19/H19,MIN(1,(K19/H19)+((L19/H19)*1))))</f>
        <v/>
      </c>
      <c r="P19" s="11">
        <f>IF(OR(I19=0,I19="",M19=""),"",M19/I19)</f>
        <v/>
      </c>
      <c r="Q19" s="11">
        <f>IF(N19="","",AVERAGE(N19:P19))</f>
        <v/>
      </c>
    </row>
    <row r="20" ht="24" customHeight="1">
      <c r="A20" s="48" t="inlineStr"/>
      <c r="B20" s="48" t="inlineStr"/>
      <c r="C20" s="48" t="inlineStr"/>
      <c r="D20" s="49" t="inlineStr"/>
      <c r="E20" s="23" t="n"/>
      <c r="F20" s="23" t="n"/>
      <c r="G20" s="50" t="n"/>
      <c r="H20" s="50" t="n"/>
      <c r="I20" s="50" t="n"/>
      <c r="J20" s="45" t="n"/>
      <c r="K20" s="45" t="n"/>
      <c r="L20" s="45" t="n"/>
      <c r="M20" s="45" t="n"/>
      <c r="N20" s="11">
        <f>IF(OR(G20=0,G20="",J20=""),"",J20/G20)</f>
        <v/>
      </c>
      <c r="O20" s="11">
        <f>IF(OR(H20=0,H20="",K20=""),"",IF((K20/H20)&gt;=1,K20/H20,MIN(1,(K20/H20)+((L20/H20)*1))))</f>
        <v/>
      </c>
      <c r="P20" s="11">
        <f>IF(OR(I20=0,I20="",M20=""),"",M20/I20)</f>
        <v/>
      </c>
      <c r="Q20" s="11">
        <f>IF(N20="","",AVERAGE(N20:P20))</f>
        <v/>
      </c>
    </row>
    <row r="21" ht="24" customHeight="1">
      <c r="A21" s="48" t="inlineStr"/>
      <c r="B21" s="48" t="inlineStr"/>
      <c r="C21" s="48" t="inlineStr"/>
      <c r="D21" s="49" t="inlineStr"/>
      <c r="E21" s="23" t="n"/>
      <c r="F21" s="23" t="n"/>
      <c r="G21" s="50" t="n"/>
      <c r="H21" s="50" t="n"/>
      <c r="I21" s="50" t="n"/>
      <c r="J21" s="45" t="n"/>
      <c r="K21" s="45" t="n"/>
      <c r="L21" s="45" t="n"/>
      <c r="M21" s="45" t="n"/>
      <c r="N21" s="11">
        <f>IF(OR(G21=0,G21="",J21=""),"",J21/G21)</f>
        <v/>
      </c>
      <c r="O21" s="11">
        <f>IF(OR(H21=0,H21="",K21=""),"",IF((K21/H21)&gt;=1,K21/H21,MIN(1,(K21/H21)+((L21/H21)*1))))</f>
        <v/>
      </c>
      <c r="P21" s="11">
        <f>IF(OR(I21=0,I21="",M21=""),"",M21/I21)</f>
        <v/>
      </c>
      <c r="Q21" s="11">
        <f>IF(N21="","",AVERAGE(N21:P21))</f>
        <v/>
      </c>
    </row>
    <row r="22" ht="24" customHeight="1">
      <c r="A22" s="48" t="inlineStr"/>
      <c r="B22" s="48" t="inlineStr"/>
      <c r="C22" s="48" t="inlineStr"/>
      <c r="D22" s="49" t="inlineStr"/>
      <c r="E22" s="23" t="n"/>
      <c r="F22" s="23" t="n"/>
      <c r="G22" s="50" t="n"/>
      <c r="H22" s="50" t="n"/>
      <c r="I22" s="50" t="n"/>
      <c r="J22" s="45" t="n"/>
      <c r="K22" s="45" t="n"/>
      <c r="L22" s="45" t="n"/>
      <c r="M22" s="45" t="n"/>
      <c r="N22" s="11">
        <f>IF(OR(G22=0,G22="",J22=""),"",J22/G22)</f>
        <v/>
      </c>
      <c r="O22" s="11">
        <f>IF(OR(H22=0,H22="",K22=""),"",IF((K22/H22)&gt;=1,K22/H22,MIN(1,(K22/H22)+((L22/H22)*1))))</f>
        <v/>
      </c>
      <c r="P22" s="11">
        <f>IF(OR(I22=0,I22="",M22=""),"",M22/I22)</f>
        <v/>
      </c>
      <c r="Q22" s="11">
        <f>IF(N22="","",AVERAGE(N22:P22))</f>
        <v/>
      </c>
    </row>
    <row r="23" ht="24" customHeight="1">
      <c r="A23" s="48" t="inlineStr"/>
      <c r="B23" s="48" t="inlineStr"/>
      <c r="C23" s="48" t="inlineStr"/>
      <c r="D23" s="49" t="inlineStr"/>
      <c r="E23" s="23" t="n"/>
      <c r="F23" s="23" t="n"/>
      <c r="G23" s="50" t="n"/>
      <c r="H23" s="50" t="n"/>
      <c r="I23" s="50" t="n"/>
      <c r="J23" s="45" t="n"/>
      <c r="K23" s="45" t="n"/>
      <c r="L23" s="45" t="n"/>
      <c r="M23" s="45" t="n"/>
      <c r="N23" s="11">
        <f>IF(OR(G23=0,G23="",J23=""),"",J23/G23)</f>
        <v/>
      </c>
      <c r="O23" s="11">
        <f>IF(OR(H23=0,H23="",K23=""),"",IF((K23/H23)&gt;=1,K23/H23,MIN(1,(K23/H23)+((L23/H23)*1))))</f>
        <v/>
      </c>
      <c r="P23" s="11">
        <f>IF(OR(I23=0,I23="",M23=""),"",M23/I23)</f>
        <v/>
      </c>
      <c r="Q23" s="11">
        <f>IF(N23="","",AVERAGE(N23:P23))</f>
        <v/>
      </c>
    </row>
    <row r="24" ht="24" customHeight="1">
      <c r="A24" s="48" t="inlineStr"/>
      <c r="B24" s="48" t="inlineStr"/>
      <c r="C24" s="48" t="inlineStr"/>
      <c r="D24" s="49" t="inlineStr"/>
      <c r="E24" s="23" t="n"/>
      <c r="F24" s="23" t="n"/>
      <c r="G24" s="50" t="n"/>
      <c r="H24" s="50" t="n"/>
      <c r="I24" s="50" t="n"/>
      <c r="J24" s="45" t="n"/>
      <c r="K24" s="45" t="n"/>
      <c r="L24" s="45" t="n"/>
      <c r="M24" s="45" t="n"/>
      <c r="N24" s="11">
        <f>IF(OR(G24=0,G24="",J24=""),"",J24/G24)</f>
        <v/>
      </c>
      <c r="O24" s="11">
        <f>IF(OR(H24=0,H24="",K24=""),"",IF((K24/H24)&gt;=1,K24/H24,MIN(1,(K24/H24)+((L24/H24)*1))))</f>
        <v/>
      </c>
      <c r="P24" s="11">
        <f>IF(OR(I24=0,I24="",M24=""),"",M24/I24)</f>
        <v/>
      </c>
      <c r="Q24" s="11">
        <f>IF(N24="","",AVERAGE(N24:P24))</f>
        <v/>
      </c>
    </row>
    <row r="25" ht="24" customHeight="1">
      <c r="A25" s="48" t="inlineStr"/>
      <c r="B25" s="48" t="inlineStr"/>
      <c r="C25" s="48" t="inlineStr"/>
      <c r="D25" s="49" t="inlineStr"/>
      <c r="E25" s="23" t="n"/>
      <c r="F25" s="23" t="n"/>
      <c r="G25" s="50" t="n"/>
      <c r="H25" s="50" t="n"/>
      <c r="I25" s="50" t="n"/>
      <c r="J25" s="45" t="n"/>
      <c r="K25" s="45" t="n"/>
      <c r="L25" s="45" t="n"/>
      <c r="M25" s="45" t="n"/>
      <c r="N25" s="11">
        <f>IF(OR(G25=0,G25="",J25=""),"",J25/G25)</f>
        <v/>
      </c>
      <c r="O25" s="11">
        <f>IF(OR(H25=0,H25="",K25=""),"",IF((K25/H25)&gt;=1,K25/H25,MIN(1,(K25/H25)+((L25/H25)*1))))</f>
        <v/>
      </c>
      <c r="P25" s="11">
        <f>IF(OR(I25=0,I25="",M25=""),"",M25/I25)</f>
        <v/>
      </c>
      <c r="Q25" s="11">
        <f>IF(N25="","",AVERAGE(N25:P25))</f>
        <v/>
      </c>
    </row>
    <row r="26" ht="24" customHeight="1">
      <c r="A26" s="48" t="inlineStr"/>
      <c r="B26" s="48" t="inlineStr"/>
      <c r="C26" s="48" t="inlineStr"/>
      <c r="D26" s="49" t="inlineStr"/>
      <c r="E26" s="23" t="n"/>
      <c r="F26" s="23" t="n"/>
      <c r="G26" s="50" t="n"/>
      <c r="H26" s="50" t="n"/>
      <c r="I26" s="50" t="n"/>
      <c r="J26" s="45" t="n"/>
      <c r="K26" s="45" t="n"/>
      <c r="L26" s="45" t="n"/>
      <c r="M26" s="45" t="n"/>
      <c r="N26" s="11">
        <f>IF(OR(G26=0,G26="",J26=""),"",J26/G26)</f>
        <v/>
      </c>
      <c r="O26" s="11">
        <f>IF(OR(H26=0,H26="",K26=""),"",IF((K26/H26)&gt;=1,K26/H26,MIN(1,(K26/H26)+((L26/H26)*1))))</f>
        <v/>
      </c>
      <c r="P26" s="11">
        <f>IF(OR(I26=0,I26="",M26=""),"",M26/I26)</f>
        <v/>
      </c>
      <c r="Q26" s="11">
        <f>IF(N26="","",AVERAGE(N26:P26))</f>
        <v/>
      </c>
    </row>
    <row r="27" ht="24" customHeight="1">
      <c r="A27" s="48" t="inlineStr"/>
      <c r="B27" s="48" t="inlineStr"/>
      <c r="C27" s="48" t="inlineStr"/>
      <c r="D27" s="49" t="inlineStr"/>
      <c r="E27" s="23" t="n"/>
      <c r="F27" s="23" t="n"/>
      <c r="G27" s="50" t="n"/>
      <c r="H27" s="50" t="n"/>
      <c r="I27" s="50" t="n"/>
      <c r="J27" s="45" t="n"/>
      <c r="K27" s="45" t="n"/>
      <c r="L27" s="45" t="n"/>
      <c r="M27" s="45" t="n"/>
      <c r="N27" s="11">
        <f>IF(OR(G27=0,G27="",J27=""),"",J27/G27)</f>
        <v/>
      </c>
      <c r="O27" s="11">
        <f>IF(OR(H27=0,H27="",K27=""),"",IF((K27/H27)&gt;=1,K27/H27,MIN(1,(K27/H27)+((L27/H27)*1))))</f>
        <v/>
      </c>
      <c r="P27" s="11">
        <f>IF(OR(I27=0,I27="",M27=""),"",M27/I27)</f>
        <v/>
      </c>
      <c r="Q27" s="11">
        <f>IF(N27="","",AVERAGE(N27:P27))</f>
        <v/>
      </c>
    </row>
    <row r="28" ht="24" customHeight="1">
      <c r="A28" s="48" t="inlineStr"/>
      <c r="B28" s="48" t="inlineStr"/>
      <c r="C28" s="48" t="inlineStr"/>
      <c r="D28" s="49" t="inlineStr"/>
      <c r="E28" s="23" t="n"/>
      <c r="F28" s="23" t="n"/>
      <c r="G28" s="50" t="n"/>
      <c r="H28" s="50" t="n"/>
      <c r="I28" s="50" t="n"/>
      <c r="J28" s="45" t="n"/>
      <c r="K28" s="45" t="n"/>
      <c r="L28" s="45" t="n"/>
      <c r="M28" s="45" t="n"/>
      <c r="N28" s="11">
        <f>IF(OR(G28=0,G28="",J28=""),"",J28/G28)</f>
        <v/>
      </c>
      <c r="O28" s="11">
        <f>IF(OR(H28=0,H28="",K28=""),"",IF((K28/H28)&gt;=1,K28/H28,MIN(1,(K28/H28)+((L28/H28)*1))))</f>
        <v/>
      </c>
      <c r="P28" s="11">
        <f>IF(OR(I28=0,I28="",M28=""),"",M28/I28)</f>
        <v/>
      </c>
      <c r="Q28" s="11">
        <f>IF(N28="","",AVERAGE(N28:P28))</f>
        <v/>
      </c>
    </row>
    <row r="29" ht="24" customHeight="1">
      <c r="A29" s="48" t="inlineStr"/>
      <c r="B29" s="48" t="inlineStr"/>
      <c r="C29" s="48" t="inlineStr"/>
      <c r="D29" s="49" t="inlineStr"/>
      <c r="E29" s="23" t="n"/>
      <c r="F29" s="23" t="n"/>
      <c r="G29" s="50" t="n"/>
      <c r="H29" s="50" t="n"/>
      <c r="I29" s="50" t="n"/>
      <c r="J29" s="45" t="n"/>
      <c r="K29" s="45" t="n"/>
      <c r="L29" s="45" t="n"/>
      <c r="M29" s="45" t="n"/>
      <c r="N29" s="11">
        <f>IF(OR(G29=0,G29="",J29=""),"",J29/G29)</f>
        <v/>
      </c>
      <c r="O29" s="11">
        <f>IF(OR(H29=0,H29="",K29=""),"",IF((K29/H29)&gt;=1,K29/H29,MIN(1,(K29/H29)+((L29/H29)*1))))</f>
        <v/>
      </c>
      <c r="P29" s="11">
        <f>IF(OR(I29=0,I29="",M29=""),"",M29/I29)</f>
        <v/>
      </c>
      <c r="Q29" s="11">
        <f>IF(N29="","",AVERAGE(N29:P29))</f>
        <v/>
      </c>
    </row>
    <row r="30" ht="24" customHeight="1">
      <c r="A30" s="48" t="inlineStr"/>
      <c r="B30" s="48" t="inlineStr"/>
      <c r="C30" s="48" t="inlineStr"/>
      <c r="D30" s="49" t="inlineStr"/>
      <c r="E30" s="23" t="n"/>
      <c r="F30" s="23" t="n"/>
      <c r="G30" s="50" t="n"/>
      <c r="H30" s="50" t="n"/>
      <c r="I30" s="50" t="n"/>
      <c r="J30" s="45" t="n"/>
      <c r="K30" s="45" t="n"/>
      <c r="L30" s="45" t="n"/>
      <c r="M30" s="45" t="n"/>
      <c r="N30" s="11">
        <f>IF(OR(G30=0,G30="",J30=""),"",J30/G30)</f>
        <v/>
      </c>
      <c r="O30" s="11">
        <f>IF(OR(H30=0,H30="",K30=""),"",IF((K30/H30)&gt;=1,K30/H30,MIN(1,(K30/H30)+((L30/H30)*1))))</f>
        <v/>
      </c>
      <c r="P30" s="11">
        <f>IF(OR(I30=0,I30="",M30=""),"",M30/I30)</f>
        <v/>
      </c>
      <c r="Q30" s="11">
        <f>IF(N30="","",AVERAGE(N30:P30))</f>
        <v/>
      </c>
    </row>
    <row r="31" ht="10" customHeight="1"/>
    <row r="32" ht="30" customHeight="1">
      <c r="A32" s="51" t="inlineStr">
        <is>
          <t>ĐIỂM TRUNG BÌNH TOÀN BỘ CÁC MÔN HỌC — KẾT QUẢ SV &amp; KỶ LUẬT (TRỌNG SỐ: 20%):</t>
        </is>
      </c>
      <c r="N32" s="15">
        <f>AVERAGE(N5:N30)</f>
        <v/>
      </c>
      <c r="O32" s="15">
        <f>AVERAGE(O5:O30)</f>
        <v/>
      </c>
      <c r="P32" s="15">
        <f>AVERAGE(P5:P30)</f>
        <v/>
      </c>
      <c r="Q32" s="52">
        <f>AVERAGE(Q5:Q30)</f>
        <v/>
      </c>
    </row>
    <row r="34" ht="24" customHeight="1">
      <c r="A34" s="35" t="inlineStr">
        <is>
          <t>HƯỚNG DẪN ĐIỀN BẢNG:</t>
        </is>
      </c>
      <c r="D34" s="36" t="inlineStr">
        <is>
          <t>Ô vàng: Điền số hoặc phân số (VD: =83/85 hoặc =57/71)</t>
        </is>
      </c>
      <c r="G34" s="37" t="inlineStr">
        <is>
          <t>Ô xanh lá: Công thức tự động tính mức độ hoàn thành &amp; hiệu suất</t>
        </is>
      </c>
      <c r="K34" s="53" t="inlineStr">
        <is>
          <t>Hiệu suất học tập (Cột O) tự động tính bù điểm Pass Resit vào tỷ lệ chung</t>
        </is>
      </c>
    </row>
  </sheetData>
  <mergeCells count="11">
    <mergeCell ref="A32:M32"/>
    <mergeCell ref="J3:M3"/>
    <mergeCell ref="G34:J34"/>
    <mergeCell ref="N3:Q3"/>
    <mergeCell ref="A2:Q2"/>
    <mergeCell ref="K34:Q34"/>
    <mergeCell ref="G3:I3"/>
    <mergeCell ref="A34:C34"/>
    <mergeCell ref="A3:F3"/>
    <mergeCell ref="A1:Q1"/>
    <mergeCell ref="D34:F3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4"/>
  <sheetViews>
    <sheetView showGridLines="1" workbookViewId="0">
      <selection activeCell="A1" sqref="A1"/>
    </sheetView>
  </sheetViews>
  <sheetFormatPr baseColWidth="8" defaultRowHeight="15" outlineLevelCol="0"/>
  <cols>
    <col width="6" customWidth="1" min="1" max="1"/>
    <col width="20" customWidth="1" min="2" max="2"/>
    <col width="16" customWidth="1" min="3" max="3"/>
    <col width="16" customWidth="1" min="4" max="4"/>
    <col width="14" customWidth="1" min="5" max="5"/>
    <col width="44" customWidth="1" min="6" max="6"/>
    <col width="32" customWidth="1" min="7" max="7"/>
    <col width="22" customWidth="1" min="8" max="8"/>
    <col width="10" customWidth="1" min="9" max="9"/>
    <col width="24" customWidth="1" min="10" max="10"/>
  </cols>
  <sheetData>
    <row r="1" ht="34" customHeight="1">
      <c r="A1" s="2" t="inlineStr">
        <is>
          <t>LỘ TRÌNH VÀ DANH MỤC MÔN HỌC TOÀN CHƯƠNG TRÌNH ĐÀO TẠO (ISME)</t>
        </is>
      </c>
    </row>
    <row r="2" ht="20" customHeight="1">
      <c r="A2" s="3" t="inlineStr">
        <is>
          <t>Danh mục chuẩn hóa dùng để tra cứu mã môn, tên tiếng Anh, số tín chỉ và phân bổ kỳ học</t>
        </is>
      </c>
    </row>
    <row r="3" ht="28" customHeight="1">
      <c r="A3" s="17" t="inlineStr">
        <is>
          <t>STT</t>
        </is>
      </c>
      <c r="B3" s="17" t="inlineStr">
        <is>
          <t>Kỳ học</t>
        </is>
      </c>
      <c r="C3" s="17" t="inlineStr">
        <is>
          <t>Khóa học (Cohort)</t>
        </is>
      </c>
      <c r="D3" s="17" t="inlineStr">
        <is>
          <t>Năm học</t>
        </is>
      </c>
      <c r="E3" s="17" t="inlineStr">
        <is>
          <t>Mã môn học</t>
        </is>
      </c>
      <c r="F3" s="17" t="inlineStr">
        <is>
          <t>Tên môn học (Tiếng Anh)</t>
        </is>
      </c>
      <c r="G3" s="17" t="inlineStr">
        <is>
          <t>Tên môn học (Tiếng Việt)</t>
        </is>
      </c>
      <c r="H3" s="17" t="inlineStr">
        <is>
          <t>Khối kiến thức / Level</t>
        </is>
      </c>
      <c r="I3" s="17" t="inlineStr">
        <is>
          <t>Tín chỉ</t>
        </is>
      </c>
      <c r="J3" s="17" t="inlineStr">
        <is>
          <t>Ghi chú / Đơn vị phụ trách</t>
        </is>
      </c>
    </row>
    <row r="4" ht="24" customHeight="1">
      <c r="A4" s="25" t="n">
        <v>1</v>
      </c>
      <c r="B4" s="46" t="inlineStr">
        <is>
          <t>SEM FALL</t>
        </is>
      </c>
      <c r="C4" s="28" t="inlineStr">
        <is>
          <t>I21 MT, I22 MX</t>
        </is>
      </c>
      <c r="D4" s="28" t="inlineStr">
        <is>
          <t>2025 - 2026</t>
        </is>
      </c>
      <c r="E4" s="25" t="inlineStr">
        <is>
          <t>ENG101</t>
        </is>
      </c>
      <c r="F4" s="26" t="inlineStr">
        <is>
          <t>ENGLISH (Elementary - Pre-Intermediate Level 1)</t>
        </is>
      </c>
      <c r="G4" s="27" t="inlineStr">
        <is>
          <t>Tiếng Anh Cấp độ 1</t>
        </is>
      </c>
      <c r="H4" s="27" t="inlineStr">
        <is>
          <t>Tiếng Anh chuẩn bị</t>
        </is>
      </c>
      <c r="I4" s="28" t="n">
        <v>3</v>
      </c>
      <c r="J4" s="27" t="inlineStr">
        <is>
          <t>Bắt buộc Năm 1</t>
        </is>
      </c>
    </row>
    <row r="5" ht="24" customHeight="1">
      <c r="A5" s="19" t="n">
        <v>2</v>
      </c>
      <c r="B5" s="42" t="inlineStr">
        <is>
          <t>SEM FALL &amp; SPRING</t>
        </is>
      </c>
      <c r="C5" s="22" t="inlineStr">
        <is>
          <t>I21 MT, I22 MX</t>
        </is>
      </c>
      <c r="D5" s="22" t="inlineStr">
        <is>
          <t>2025 - 2026</t>
        </is>
      </c>
      <c r="E5" s="19" t="inlineStr">
        <is>
          <t>ENG102</t>
        </is>
      </c>
      <c r="F5" s="20" t="inlineStr">
        <is>
          <t>ENGLISH (Intermediate Level 2)</t>
        </is>
      </c>
      <c r="G5" s="21" t="inlineStr">
        <is>
          <t>Tiếng Anh Cấp độ 2</t>
        </is>
      </c>
      <c r="H5" s="21" t="inlineStr">
        <is>
          <t>Tiếng Anh chuẩn bị</t>
        </is>
      </c>
      <c r="I5" s="22" t="n">
        <v>3</v>
      </c>
      <c r="J5" s="21" t="inlineStr">
        <is>
          <t>Bắt buộc Năm 1</t>
        </is>
      </c>
    </row>
    <row r="6" ht="24" customHeight="1">
      <c r="A6" s="25" t="n">
        <v>3</v>
      </c>
      <c r="B6" s="46" t="inlineStr">
        <is>
          <t>SEM SPRING</t>
        </is>
      </c>
      <c r="C6" s="28" t="inlineStr">
        <is>
          <t>I21 MT, I22 MX</t>
        </is>
      </c>
      <c r="D6" s="28" t="inlineStr">
        <is>
          <t>2025 - 2026</t>
        </is>
      </c>
      <c r="E6" s="25" t="inlineStr">
        <is>
          <t>ENG103</t>
        </is>
      </c>
      <c r="F6" s="26" t="inlineStr">
        <is>
          <t>ENGLISH (Upper - Intermediate Level 3)</t>
        </is>
      </c>
      <c r="G6" s="27" t="inlineStr">
        <is>
          <t>Tiếng Anh Cấp độ 3</t>
        </is>
      </c>
      <c r="H6" s="27" t="inlineStr">
        <is>
          <t>Tiếng Anh học thuật</t>
        </is>
      </c>
      <c r="I6" s="28" t="n">
        <v>3</v>
      </c>
      <c r="J6" s="27" t="inlineStr">
        <is>
          <t>Bắt buộc Năm 1</t>
        </is>
      </c>
    </row>
    <row r="7" ht="24" customHeight="1">
      <c r="A7" s="19" t="n">
        <v>4</v>
      </c>
      <c r="B7" s="42" t="inlineStr">
        <is>
          <t>SEM FALL &amp; SPRING</t>
        </is>
      </c>
      <c r="C7" s="22" t="inlineStr">
        <is>
          <t>I21 MT, I22 MX</t>
        </is>
      </c>
      <c r="D7" s="22" t="inlineStr">
        <is>
          <t>2025 - 2026</t>
        </is>
      </c>
      <c r="E7" s="19" t="inlineStr">
        <is>
          <t>ENG104</t>
        </is>
      </c>
      <c r="F7" s="20" t="inlineStr">
        <is>
          <t>ENGLISH (Advanced Level 4)</t>
        </is>
      </c>
      <c r="G7" s="21" t="inlineStr">
        <is>
          <t>Tiếng Anh Cấp độ 4</t>
        </is>
      </c>
      <c r="H7" s="21" t="inlineStr">
        <is>
          <t>Tiếng Anh học thuật</t>
        </is>
      </c>
      <c r="I7" s="22" t="n">
        <v>3</v>
      </c>
      <c r="J7" s="21" t="inlineStr">
        <is>
          <t>Điều kiện vào chuyên ngành</t>
        </is>
      </c>
    </row>
    <row r="8" ht="24" customHeight="1">
      <c r="A8" s="25" t="n">
        <v>5</v>
      </c>
      <c r="B8" s="46" t="inlineStr">
        <is>
          <t>SEM FALL &amp; SPRING</t>
        </is>
      </c>
      <c r="C8" s="28" t="inlineStr">
        <is>
          <t>I21 MT</t>
        </is>
      </c>
      <c r="D8" s="28" t="inlineStr">
        <is>
          <t>2025 - 2026</t>
        </is>
      </c>
      <c r="E8" s="25" t="inlineStr">
        <is>
          <t>ECO101</t>
        </is>
      </c>
      <c r="F8" s="26" t="inlineStr">
        <is>
          <t>Basic Economics</t>
        </is>
      </c>
      <c r="G8" s="27" t="inlineStr">
        <is>
          <t>Kinh tế học cơ bản</t>
        </is>
      </c>
      <c r="H8" s="27" t="inlineStr">
        <is>
          <t>Kiến thức cơ sở khối ngành</t>
        </is>
      </c>
      <c r="I8" s="28" t="n">
        <v>3</v>
      </c>
      <c r="J8" s="27" t="inlineStr">
        <is>
          <t>Môn đại cương</t>
        </is>
      </c>
    </row>
    <row r="9" ht="24" customHeight="1">
      <c r="A9" s="19" t="n">
        <v>6</v>
      </c>
      <c r="B9" s="42" t="inlineStr">
        <is>
          <t>SEM FALL &amp; SPRING</t>
        </is>
      </c>
      <c r="C9" s="22" t="inlineStr">
        <is>
          <t>I21 MT, I22 MX</t>
        </is>
      </c>
      <c r="D9" s="22" t="inlineStr">
        <is>
          <t>2025 - 2026</t>
        </is>
      </c>
      <c r="E9" s="19" t="inlineStr">
        <is>
          <t>SKL101</t>
        </is>
      </c>
      <c r="F9" s="20" t="inlineStr">
        <is>
          <t>Study skills</t>
        </is>
      </c>
      <c r="G9" s="21" t="inlineStr">
        <is>
          <t>Kỹ năng học tập đại học</t>
        </is>
      </c>
      <c r="H9" s="21" t="inlineStr">
        <is>
          <t>Kỹ năng bổ trợ</t>
        </is>
      </c>
      <c r="I9" s="22" t="n">
        <v>2</v>
      </c>
      <c r="J9" s="21" t="inlineStr">
        <is>
          <t>Kỹ năng mềm</t>
        </is>
      </c>
    </row>
    <row r="10" ht="24" customHeight="1">
      <c r="A10" s="25" t="n">
        <v>7</v>
      </c>
      <c r="B10" s="46" t="inlineStr">
        <is>
          <t>SEM FALL</t>
        </is>
      </c>
      <c r="C10" s="28" t="inlineStr">
        <is>
          <t>I22 MT</t>
        </is>
      </c>
      <c r="D10" s="28" t="inlineStr">
        <is>
          <t>2026 - 2027</t>
        </is>
      </c>
      <c r="E10" s="25" t="inlineStr">
        <is>
          <t>WEL101</t>
        </is>
      </c>
      <c r="F10" s="26" t="inlineStr">
        <is>
          <t>Welcome to University</t>
        </is>
      </c>
      <c r="G10" s="27" t="inlineStr">
        <is>
          <t>Nhập môn đại học</t>
        </is>
      </c>
      <c r="H10" s="27" t="inlineStr">
        <is>
          <t>Kỹ năng bổ trợ</t>
        </is>
      </c>
      <c r="I10" s="28" t="n">
        <v>1</v>
      </c>
      <c r="J10" s="27" t="inlineStr">
        <is>
          <t>Định hướng tân sinh viên</t>
        </is>
      </c>
    </row>
    <row r="11" ht="24" customHeight="1">
      <c r="A11" s="19" t="n">
        <v>8</v>
      </c>
      <c r="B11" s="42" t="inlineStr">
        <is>
          <t>SEM SUMMER</t>
        </is>
      </c>
      <c r="C11" s="22" t="inlineStr">
        <is>
          <t>I21 MT</t>
        </is>
      </c>
      <c r="D11" s="22" t="inlineStr">
        <is>
          <t>2025 - 2026</t>
        </is>
      </c>
      <c r="E11" s="19" t="inlineStr">
        <is>
          <t>MTH102</t>
        </is>
      </c>
      <c r="F11" s="20" t="inlineStr">
        <is>
          <t>Maths in Economic</t>
        </is>
      </c>
      <c r="G11" s="21" t="inlineStr">
        <is>
          <t>Toán trong kinh tế</t>
        </is>
      </c>
      <c r="H11" s="21" t="inlineStr">
        <is>
          <t>Kiến thức cơ sở</t>
        </is>
      </c>
      <c r="I11" s="22" t="n">
        <v>3</v>
      </c>
      <c r="J11" s="21" t="inlineStr">
        <is>
          <t>Học kỳ hè</t>
        </is>
      </c>
    </row>
    <row r="12" ht="24" customHeight="1">
      <c r="A12" s="25" t="n">
        <v>9</v>
      </c>
      <c r="B12" s="46" t="inlineStr">
        <is>
          <t>SEM SPRING</t>
        </is>
      </c>
      <c r="C12" s="28" t="inlineStr">
        <is>
          <t>I21 MT</t>
        </is>
      </c>
      <c r="D12" s="28" t="inlineStr">
        <is>
          <t>2025 - 2026</t>
        </is>
      </c>
      <c r="E12" s="25" t="inlineStr">
        <is>
          <t>DAT101</t>
        </is>
      </c>
      <c r="F12" s="26" t="inlineStr">
        <is>
          <t>Data Analysis and AI</t>
        </is>
      </c>
      <c r="G12" s="27" t="inlineStr">
        <is>
          <t>Phân tích dữ liệu &amp; Trí tuệ nhân tạo</t>
        </is>
      </c>
      <c r="H12" s="27" t="inlineStr">
        <is>
          <t>Ứng dụng công nghệ</t>
        </is>
      </c>
      <c r="I12" s="28" t="n">
        <v>3</v>
      </c>
      <c r="J12" s="27" t="inlineStr">
        <is>
          <t>Môn tích hợp mới</t>
        </is>
      </c>
    </row>
    <row r="13" ht="24" customHeight="1">
      <c r="A13" s="19" t="n">
        <v>10</v>
      </c>
      <c r="B13" s="42" t="inlineStr">
        <is>
          <t>SEM 1</t>
        </is>
      </c>
      <c r="C13" s="22" t="inlineStr">
        <is>
          <t>I19 MX, I20 MT</t>
        </is>
      </c>
      <c r="D13" s="22" t="inlineStr">
        <is>
          <t>2025 - 2026</t>
        </is>
      </c>
      <c r="E13" s="19" t="inlineStr">
        <is>
          <t>MGT201</t>
        </is>
      </c>
      <c r="F13" s="20" t="inlineStr">
        <is>
          <t>Principles of Management</t>
        </is>
      </c>
      <c r="G13" s="21" t="inlineStr">
        <is>
          <t>Nguyên lý Quản trị</t>
        </is>
      </c>
      <c r="H13" s="21" t="inlineStr">
        <is>
          <t>Cơ sở ngành</t>
        </is>
      </c>
      <c r="I13" s="22" t="n">
        <v>3</v>
      </c>
      <c r="J13" s="21" t="inlineStr">
        <is>
          <t>Giai đoạn chuyên ngành</t>
        </is>
      </c>
    </row>
    <row r="14" ht="24" customHeight="1">
      <c r="A14" s="25" t="n">
        <v>11</v>
      </c>
      <c r="B14" s="46" t="inlineStr">
        <is>
          <t>SEM 2</t>
        </is>
      </c>
      <c r="C14" s="28" t="inlineStr">
        <is>
          <t>I19 MX, I20 MT</t>
        </is>
      </c>
      <c r="D14" s="28" t="inlineStr">
        <is>
          <t>2025 - 2026</t>
        </is>
      </c>
      <c r="E14" s="25" t="inlineStr">
        <is>
          <t>MKT201</t>
        </is>
      </c>
      <c r="F14" s="26" t="inlineStr">
        <is>
          <t>Marketing Management</t>
        </is>
      </c>
      <c r="G14" s="27" t="inlineStr">
        <is>
          <t>Quản trị Marketing</t>
        </is>
      </c>
      <c r="H14" s="27" t="inlineStr">
        <is>
          <t>Chuyên ngành</t>
        </is>
      </c>
      <c r="I14" s="28" t="n">
        <v>3</v>
      </c>
      <c r="J14" s="27" t="inlineStr">
        <is>
          <t>Giai đoạn chuyên ngành</t>
        </is>
      </c>
    </row>
    <row r="15" ht="24" customHeight="1">
      <c r="A15" s="19" t="n">
        <v>12</v>
      </c>
      <c r="B15" s="42" t="inlineStr">
        <is>
          <t>SEM 2</t>
        </is>
      </c>
      <c r="C15" s="22" t="inlineStr">
        <is>
          <t>I18 MT</t>
        </is>
      </c>
      <c r="D15" s="22" t="inlineStr">
        <is>
          <t>2025 - 2026</t>
        </is>
      </c>
      <c r="E15" s="19" t="inlineStr">
        <is>
          <t>FIN301</t>
        </is>
      </c>
      <c r="F15" s="20" t="inlineStr">
        <is>
          <t>Financial Markets and Institutions</t>
        </is>
      </c>
      <c r="G15" s="21" t="inlineStr">
        <is>
          <t>Thị trường &amp; Định chế tài chính</t>
        </is>
      </c>
      <c r="H15" s="21" t="inlineStr">
        <is>
          <t>Chuyên ngành nâng cao</t>
        </is>
      </c>
      <c r="I15" s="22" t="n">
        <v>3</v>
      </c>
      <c r="J15" s="21" t="inlineStr">
        <is>
          <t>Năm cuối Top-up</t>
        </is>
      </c>
    </row>
    <row r="16" ht="22" customHeight="1">
      <c r="A16" s="19" t="n">
        <v>13</v>
      </c>
      <c r="B16" s="54" t="n"/>
      <c r="C16" s="54" t="n"/>
      <c r="D16" s="54" t="n"/>
      <c r="E16" s="54" t="n"/>
      <c r="F16" s="54" t="n"/>
      <c r="G16" s="54" t="n"/>
      <c r="H16" s="54" t="n"/>
      <c r="I16" s="54" t="n"/>
      <c r="J16" s="54" t="n"/>
    </row>
    <row r="17" ht="22" customHeight="1">
      <c r="A17" s="19" t="n">
        <v>14</v>
      </c>
      <c r="B17" s="54" t="n"/>
      <c r="C17" s="54" t="n"/>
      <c r="D17" s="54" t="n"/>
      <c r="E17" s="54" t="n"/>
      <c r="F17" s="54" t="n"/>
      <c r="G17" s="54" t="n"/>
      <c r="H17" s="54" t="n"/>
      <c r="I17" s="54" t="n"/>
      <c r="J17" s="54" t="n"/>
    </row>
    <row r="18" ht="22" customHeight="1">
      <c r="A18" s="19" t="n">
        <v>15</v>
      </c>
      <c r="B18" s="54" t="n"/>
      <c r="C18" s="54" t="n"/>
      <c r="D18" s="54" t="n"/>
      <c r="E18" s="54" t="n"/>
      <c r="F18" s="54" t="n"/>
      <c r="G18" s="54" t="n"/>
      <c r="H18" s="54" t="n"/>
      <c r="I18" s="54" t="n"/>
      <c r="J18" s="54" t="n"/>
    </row>
    <row r="19" ht="22" customHeight="1">
      <c r="A19" s="19" t="n">
        <v>16</v>
      </c>
      <c r="B19" s="54" t="n"/>
      <c r="C19" s="54" t="n"/>
      <c r="D19" s="54" t="n"/>
      <c r="E19" s="54" t="n"/>
      <c r="F19" s="54" t="n"/>
      <c r="G19" s="54" t="n"/>
      <c r="H19" s="54" t="n"/>
      <c r="I19" s="54" t="n"/>
      <c r="J19" s="54" t="n"/>
    </row>
    <row r="20" ht="22" customHeight="1">
      <c r="A20" s="19" t="n">
        <v>17</v>
      </c>
      <c r="B20" s="54" t="n"/>
      <c r="C20" s="54" t="n"/>
      <c r="D20" s="54" t="n"/>
      <c r="E20" s="54" t="n"/>
      <c r="F20" s="54" t="n"/>
      <c r="G20" s="54" t="n"/>
      <c r="H20" s="54" t="n"/>
      <c r="I20" s="54" t="n"/>
      <c r="J20" s="54" t="n"/>
    </row>
    <row r="21" ht="22" customHeight="1">
      <c r="A21" s="19" t="n">
        <v>18</v>
      </c>
      <c r="B21" s="54" t="n"/>
      <c r="C21" s="54" t="n"/>
      <c r="D21" s="54" t="n"/>
      <c r="E21" s="54" t="n"/>
      <c r="F21" s="54" t="n"/>
      <c r="G21" s="54" t="n"/>
      <c r="H21" s="54" t="n"/>
      <c r="I21" s="54" t="n"/>
      <c r="J21" s="54" t="n"/>
    </row>
    <row r="22" ht="22" customHeight="1">
      <c r="A22" s="19" t="n">
        <v>19</v>
      </c>
      <c r="B22" s="54" t="n"/>
      <c r="C22" s="54" t="n"/>
      <c r="D22" s="54" t="n"/>
      <c r="E22" s="54" t="n"/>
      <c r="F22" s="54" t="n"/>
      <c r="G22" s="54" t="n"/>
      <c r="H22" s="54" t="n"/>
      <c r="I22" s="54" t="n"/>
      <c r="J22" s="54" t="n"/>
    </row>
    <row r="23" ht="22" customHeight="1">
      <c r="A23" s="19" t="n">
        <v>20</v>
      </c>
      <c r="B23" s="54" t="n"/>
      <c r="C23" s="54" t="n"/>
      <c r="D23" s="54" t="n"/>
      <c r="E23" s="54" t="n"/>
      <c r="F23" s="54" t="n"/>
      <c r="G23" s="54" t="n"/>
      <c r="H23" s="54" t="n"/>
      <c r="I23" s="54" t="n"/>
      <c r="J23" s="54" t="n"/>
    </row>
    <row r="24" ht="22" customHeight="1">
      <c r="A24" s="19" t="n">
        <v>21</v>
      </c>
      <c r="B24" s="54" t="n"/>
      <c r="C24" s="54" t="n"/>
      <c r="D24" s="54" t="n"/>
      <c r="E24" s="54" t="n"/>
      <c r="F24" s="54" t="n"/>
      <c r="G24" s="54" t="n"/>
      <c r="H24" s="54" t="n"/>
      <c r="I24" s="54" t="n"/>
      <c r="J24" s="54" t="n"/>
    </row>
    <row r="25" ht="22" customHeight="1">
      <c r="A25" s="19" t="n">
        <v>22</v>
      </c>
      <c r="B25" s="54" t="n"/>
      <c r="C25" s="54" t="n"/>
      <c r="D25" s="54" t="n"/>
      <c r="E25" s="54" t="n"/>
      <c r="F25" s="54" t="n"/>
      <c r="G25" s="54" t="n"/>
      <c r="H25" s="54" t="n"/>
      <c r="I25" s="54" t="n"/>
      <c r="J25" s="54" t="n"/>
    </row>
    <row r="26" ht="22" customHeight="1">
      <c r="A26" s="19" t="n">
        <v>23</v>
      </c>
      <c r="B26" s="54" t="n"/>
      <c r="C26" s="54" t="n"/>
      <c r="D26" s="54" t="n"/>
      <c r="E26" s="54" t="n"/>
      <c r="F26" s="54" t="n"/>
      <c r="G26" s="54" t="n"/>
      <c r="H26" s="54" t="n"/>
      <c r="I26" s="54" t="n"/>
      <c r="J26" s="54" t="n"/>
    </row>
    <row r="27" ht="22" customHeight="1">
      <c r="A27" s="19" t="n">
        <v>24</v>
      </c>
      <c r="B27" s="54" t="n"/>
      <c r="C27" s="54" t="n"/>
      <c r="D27" s="54" t="n"/>
      <c r="E27" s="54" t="n"/>
      <c r="F27" s="54" t="n"/>
      <c r="G27" s="54" t="n"/>
      <c r="H27" s="54" t="n"/>
      <c r="I27" s="54" t="n"/>
      <c r="J27" s="54" t="n"/>
    </row>
    <row r="28" ht="22" customHeight="1">
      <c r="A28" s="19" t="n">
        <v>25</v>
      </c>
      <c r="B28" s="54" t="n"/>
      <c r="C28" s="54" t="n"/>
      <c r="D28" s="54" t="n"/>
      <c r="E28" s="54" t="n"/>
      <c r="F28" s="54" t="n"/>
      <c r="G28" s="54" t="n"/>
      <c r="H28" s="54" t="n"/>
      <c r="I28" s="54" t="n"/>
      <c r="J28" s="54" t="n"/>
    </row>
    <row r="29" ht="22" customHeight="1">
      <c r="A29" s="19" t="n">
        <v>26</v>
      </c>
      <c r="B29" s="54" t="n"/>
      <c r="C29" s="54" t="n"/>
      <c r="D29" s="54" t="n"/>
      <c r="E29" s="54" t="n"/>
      <c r="F29" s="54" t="n"/>
      <c r="G29" s="54" t="n"/>
      <c r="H29" s="54" t="n"/>
      <c r="I29" s="54" t="n"/>
      <c r="J29" s="54" t="n"/>
    </row>
    <row r="30" ht="22" customHeight="1">
      <c r="A30" s="19" t="n">
        <v>27</v>
      </c>
      <c r="B30" s="54" t="n"/>
      <c r="C30" s="54" t="n"/>
      <c r="D30" s="54" t="n"/>
      <c r="E30" s="54" t="n"/>
      <c r="F30" s="54" t="n"/>
      <c r="G30" s="54" t="n"/>
      <c r="H30" s="54" t="n"/>
      <c r="I30" s="54" t="n"/>
      <c r="J30" s="54" t="n"/>
    </row>
    <row r="31" ht="22" customHeight="1">
      <c r="A31" s="19" t="n">
        <v>28</v>
      </c>
      <c r="B31" s="54" t="n"/>
      <c r="C31" s="54" t="n"/>
      <c r="D31" s="54" t="n"/>
      <c r="E31" s="54" t="n"/>
      <c r="F31" s="54" t="n"/>
      <c r="G31" s="54" t="n"/>
      <c r="H31" s="54" t="n"/>
      <c r="I31" s="54" t="n"/>
      <c r="J31" s="54" t="n"/>
    </row>
    <row r="32" ht="22" customHeight="1">
      <c r="A32" s="19" t="n">
        <v>29</v>
      </c>
      <c r="B32" s="54" t="n"/>
      <c r="C32" s="54" t="n"/>
      <c r="D32" s="54" t="n"/>
      <c r="E32" s="54" t="n"/>
      <c r="F32" s="54" t="n"/>
      <c r="G32" s="54" t="n"/>
      <c r="H32" s="54" t="n"/>
      <c r="I32" s="54" t="n"/>
      <c r="J32" s="54" t="n"/>
    </row>
    <row r="33" ht="22" customHeight="1">
      <c r="A33" s="19" t="n">
        <v>30</v>
      </c>
      <c r="B33" s="54" t="n"/>
      <c r="C33" s="54" t="n"/>
      <c r="D33" s="54" t="n"/>
      <c r="E33" s="54" t="n"/>
      <c r="F33" s="54" t="n"/>
      <c r="G33" s="54" t="n"/>
      <c r="H33" s="54" t="n"/>
      <c r="I33" s="54" t="n"/>
      <c r="J33" s="54" t="n"/>
    </row>
    <row r="34" ht="22" customHeight="1">
      <c r="A34" s="19" t="n">
        <v>31</v>
      </c>
      <c r="B34" s="54" t="n"/>
      <c r="C34" s="54" t="n"/>
      <c r="D34" s="54" t="n"/>
      <c r="E34" s="54" t="n"/>
      <c r="F34" s="54" t="n"/>
      <c r="G34" s="54" t="n"/>
      <c r="H34" s="54" t="n"/>
      <c r="I34" s="54" t="n"/>
      <c r="J34" s="54" t="n"/>
    </row>
    <row r="35" ht="22" customHeight="1">
      <c r="A35" s="19" t="n">
        <v>32</v>
      </c>
      <c r="B35" s="54" t="n"/>
      <c r="C35" s="54" t="n"/>
      <c r="D35" s="54" t="n"/>
      <c r="E35" s="54" t="n"/>
      <c r="F35" s="54" t="n"/>
      <c r="G35" s="54" t="n"/>
      <c r="H35" s="54" t="n"/>
      <c r="I35" s="54" t="n"/>
      <c r="J35" s="54" t="n"/>
    </row>
    <row r="36" ht="22" customHeight="1">
      <c r="A36" s="19" t="n">
        <v>33</v>
      </c>
      <c r="B36" s="54" t="n"/>
      <c r="C36" s="54" t="n"/>
      <c r="D36" s="54" t="n"/>
      <c r="E36" s="54" t="n"/>
      <c r="F36" s="54" t="n"/>
      <c r="G36" s="54" t="n"/>
      <c r="H36" s="54" t="n"/>
      <c r="I36" s="54" t="n"/>
      <c r="J36" s="54" t="n"/>
    </row>
    <row r="37" ht="22" customHeight="1">
      <c r="A37" s="19" t="n">
        <v>34</v>
      </c>
      <c r="B37" s="54" t="n"/>
      <c r="C37" s="54" t="n"/>
      <c r="D37" s="54" t="n"/>
      <c r="E37" s="54" t="n"/>
      <c r="F37" s="54" t="n"/>
      <c r="G37" s="54" t="n"/>
      <c r="H37" s="54" t="n"/>
      <c r="I37" s="54" t="n"/>
      <c r="J37" s="54" t="n"/>
    </row>
    <row r="38" ht="22" customHeight="1">
      <c r="A38" s="19" t="n">
        <v>35</v>
      </c>
      <c r="B38" s="54" t="n"/>
      <c r="C38" s="54" t="n"/>
      <c r="D38" s="54" t="n"/>
      <c r="E38" s="54" t="n"/>
      <c r="F38" s="54" t="n"/>
      <c r="G38" s="54" t="n"/>
      <c r="H38" s="54" t="n"/>
      <c r="I38" s="54" t="n"/>
      <c r="J38" s="54" t="n"/>
    </row>
    <row r="39" ht="22" customHeight="1">
      <c r="A39" s="19" t="n">
        <v>36</v>
      </c>
      <c r="B39" s="54" t="n"/>
      <c r="C39" s="54" t="n"/>
      <c r="D39" s="54" t="n"/>
      <c r="E39" s="54" t="n"/>
      <c r="F39" s="54" t="n"/>
      <c r="G39" s="54" t="n"/>
      <c r="H39" s="54" t="n"/>
      <c r="I39" s="54" t="n"/>
      <c r="J39" s="54" t="n"/>
    </row>
    <row r="40" ht="22" customHeight="1">
      <c r="A40" s="19" t="n">
        <v>37</v>
      </c>
      <c r="B40" s="54" t="n"/>
      <c r="C40" s="54" t="n"/>
      <c r="D40" s="54" t="n"/>
      <c r="E40" s="54" t="n"/>
      <c r="F40" s="54" t="n"/>
      <c r="G40" s="54" t="n"/>
      <c r="H40" s="54" t="n"/>
      <c r="I40" s="54" t="n"/>
      <c r="J40" s="54" t="n"/>
    </row>
    <row r="41" ht="22" customHeight="1">
      <c r="A41" s="19" t="n">
        <v>38</v>
      </c>
      <c r="B41" s="54" t="n"/>
      <c r="C41" s="54" t="n"/>
      <c r="D41" s="54" t="n"/>
      <c r="E41" s="54" t="n"/>
      <c r="F41" s="54" t="n"/>
      <c r="G41" s="54" t="n"/>
      <c r="H41" s="54" t="n"/>
      <c r="I41" s="54" t="n"/>
      <c r="J41" s="54" t="n"/>
    </row>
    <row r="42" ht="22" customHeight="1">
      <c r="A42" s="19" t="n">
        <v>39</v>
      </c>
      <c r="B42" s="54" t="n"/>
      <c r="C42" s="54" t="n"/>
      <c r="D42" s="54" t="n"/>
      <c r="E42" s="54" t="n"/>
      <c r="F42" s="54" t="n"/>
      <c r="G42" s="54" t="n"/>
      <c r="H42" s="54" t="n"/>
      <c r="I42" s="54" t="n"/>
      <c r="J42" s="54" t="n"/>
    </row>
    <row r="43" ht="22" customHeight="1">
      <c r="A43" s="19" t="n">
        <v>40</v>
      </c>
      <c r="B43" s="54" t="n"/>
      <c r="C43" s="54" t="n"/>
      <c r="D43" s="54" t="n"/>
      <c r="E43" s="54" t="n"/>
      <c r="F43" s="54" t="n"/>
      <c r="G43" s="54" t="n"/>
      <c r="H43" s="54" t="n"/>
      <c r="I43" s="54" t="n"/>
      <c r="J43" s="54" t="n"/>
    </row>
    <row r="44" ht="22" customHeight="1">
      <c r="A44" s="19" t="n">
        <v>41</v>
      </c>
      <c r="B44" s="54" t="n"/>
      <c r="C44" s="54" t="n"/>
      <c r="D44" s="54" t="n"/>
      <c r="E44" s="54" t="n"/>
      <c r="F44" s="54" t="n"/>
      <c r="G44" s="54" t="n"/>
      <c r="H44" s="54" t="n"/>
      <c r="I44" s="54" t="n"/>
      <c r="J44" s="54" t="n"/>
    </row>
  </sheetData>
  <mergeCells count="2">
    <mergeCell ref="A1:J1"/>
    <mergeCell ref="A2:J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6"/>
  <sheetViews>
    <sheetView showGridLines="1" workbookViewId="0">
      <selection activeCell="A1" sqref="A1"/>
    </sheetView>
  </sheetViews>
  <sheetFormatPr baseColWidth="8" defaultRowHeight="15" outlineLevelCol="0"/>
  <cols>
    <col width="5" customWidth="1" min="1" max="1"/>
    <col width="30" customWidth="1" min="2" max="2"/>
    <col width="80" customWidth="1" min="3" max="3"/>
  </cols>
  <sheetData>
    <row r="1" ht="34" customHeight="1">
      <c r="A1" s="2" t="inlineStr">
        <is>
          <t>HƯỚNG DẪN SỬ DỤNG VÀ QUY CHUẨN ĐIỀN FORM ĐÁNH GIÁ KPI</t>
        </is>
      </c>
    </row>
    <row r="3" ht="30" customHeight="1">
      <c r="B3" s="20" t="inlineStr">
        <is>
          <t>1. MỤC TIÊU VÀ PHẠM VI ÁP DỤNG</t>
        </is>
      </c>
      <c r="C3" s="21" t="inlineStr">
        <is>
          <t>Áp dụng cho toàn bộ Chuyên viên điều phối chương trình (Coordinator) thuộc Ban Đào tạo Đại học, Viện Đào tạo Quốc tế (ISME).</t>
        </is>
      </c>
    </row>
    <row r="4" ht="30" customHeight="1">
      <c r="B4" s="20" t="inlineStr">
        <is>
          <t>2. CƠ CẤU 4 NHÓM TRỌNG SỐ KPI CHUẨN</t>
        </is>
      </c>
      <c r="C4" s="21" t="inlineStr">
        <is>
          <t>Hệ thống đánh giá KPI được phân định thành 4 nhóm độc lập với tổng trọng số 100%:</t>
        </is>
      </c>
    </row>
    <row r="5" ht="30" customHeight="1">
      <c r="B5" s="21" t="inlineStr">
        <is>
          <t xml:space="preserve">   • Nhóm I: Vận hành theo mô tả CV (Operations) — 50%</t>
        </is>
      </c>
      <c r="C5" s="21" t="inlineStr">
        <is>
          <t>Gồm 10 chỉ tiêu cốt lõi: Quản lý nội dung môn học, tài liệu GV, vận hành lớp học, điểm thi, rà soát kết quả, Turnitin, xử lý phản hồi SV/GV, module report, quản lý tiến trình SV.</t>
        </is>
      </c>
    </row>
    <row r="6" ht="30" customHeight="1">
      <c r="B6" s="21" t="inlineStr">
        <is>
          <t xml:space="preserve">   • Nhóm II: Hoạt động hỗ trợ học tập (Academic Support) — 20%</t>
        </is>
      </c>
      <c r="C6" s="21" t="inlineStr">
        <is>
          <t>Đánh giá việc tổ chức các hoạt động ngoại khóa học tập: Tọa đàm, workshop chuyên đề, guest speaker, field trip, seminar nâng cao kỹ năng cho sinh viên.</t>
        </is>
      </c>
    </row>
    <row r="7" ht="30" customHeight="1">
      <c r="B7" s="21" t="inlineStr">
        <is>
          <t xml:space="preserve">   • Nhóm III: Kết quả học tập &amp; Kỷ luật SV — 20%</t>
        </is>
      </c>
      <c r="C7" s="21" t="inlineStr">
        <is>
          <t>Đánh giá tại Sheet 2 theo từng môn học/lớp: Tỷ lệ chuyên cần (kỷ luật), tỷ lệ pass lần 1, tỷ lệ pass sau Resit, tỷ lệ nộp bài đúng hạn.</t>
        </is>
      </c>
    </row>
    <row r="8" ht="30" customHeight="1">
      <c r="B8" s="21" t="inlineStr">
        <is>
          <t xml:space="preserve">   • Nhóm IV: Các hoạt động khác — 10%</t>
        </is>
      </c>
      <c r="C8" s="21" t="inlineStr">
        <is>
          <t>Đánh giá việc tham gia công tác tuyển sinh, hỗ trợ SV du học/trao đổi quốc tế và các hoạt động chung do Viện/Trường tổ chức.</t>
        </is>
      </c>
    </row>
    <row r="9" ht="24" customHeight="1">
      <c r="B9" s="55" t="inlineStr">
        <is>
          <t>3. QUY ƯỚC MÀU SẮC Ô TÍNH TRONG FILE</t>
        </is>
      </c>
      <c r="C9" s="21" t="inlineStr"/>
    </row>
    <row r="10" ht="30" customHeight="1">
      <c r="B10" s="49" t="inlineStr">
        <is>
          <t xml:space="preserve">   • Ô MÀU VÀNG NHẠT (Soft Pale Yellow)</t>
        </is>
      </c>
      <c r="C10" s="21" t="inlineStr">
        <is>
          <t>Coordinator TỰ ĐIỀN số liệu thực tế được giao và đã hoàn thành cuối kỳ.</t>
        </is>
      </c>
    </row>
    <row r="11" ht="30" customHeight="1">
      <c r="B11" s="56" t="inlineStr">
        <is>
          <t xml:space="preserve">   • Ô MÀU XANH LÁ NHẠT (Soft Mint Green)</t>
        </is>
      </c>
      <c r="C11" s="21" t="inlineStr">
        <is>
          <t>Ô CÔNG THỨC TỰ ĐỘNG TÍNH TOÁN tỷ lệ và điểm trung bình — TUYỆT ĐỐI KHÔNG GÕ ĐÈ HAY SỬA.</t>
        </is>
      </c>
    </row>
    <row r="12" ht="30" customHeight="1">
      <c r="B12" s="57" t="inlineStr">
        <is>
          <t xml:space="preserve">   • Ô MÀU CAM NHẠT (Soft Warm Peach)</t>
        </is>
      </c>
      <c r="C12" s="21" t="inlineStr">
        <is>
          <t>Dành cho Cán bộ quản lý trực tiếp / Trưởng Ban chấm điểm đánh giá (Thang điểm 1 đến 100).</t>
        </is>
      </c>
    </row>
    <row r="13" ht="30" customHeight="1">
      <c r="B13" s="58" t="inlineStr">
        <is>
          <t xml:space="preserve">   • Ô MÀU XANH DƯƠNG NHẠT (Soft Blue)</t>
        </is>
      </c>
      <c r="C13" s="21" t="inlineStr">
        <is>
          <t>Mục tiêu kế hoạch đầu kỳ được giao.</t>
        </is>
      </c>
    </row>
    <row r="14" ht="30" customHeight="1">
      <c r="B14" s="20" t="inlineStr">
        <is>
          <t>4. CÁCH ĐIỀN SHEET 2 (KẾT QUẢ SV &amp; KỶ LUẬT)</t>
        </is>
      </c>
      <c r="C14" s="21" t="inlineStr">
        <is>
          <t>Tại các cột Kết quả cuối kỳ (Cột J, K, L, M), Coordinator có thể nhập trực tiếp số thập phân (VD: 0.95 = 95%) hoặc nhập công thức phân số (VD: =83/85; =57/71) để Excel tự tính chính xác.</t>
        </is>
      </c>
    </row>
    <row r="15" ht="30" customHeight="1">
      <c r="B15" s="20" t="inlineStr">
        <is>
          <t>5. CÔNG THỨC HIỆU SUẤT HỌC TẬP (CỘT O SHEET 2)</t>
        </is>
      </c>
      <c r="C15" s="21" t="inlineStr">
        <is>
          <t>Hiệu suất học tập được tính có cộng bù điểm thi lại (Resit): Nếu Tỉ lệ Pass lần 1 &gt;= Mục tiêu, điểm = Pass 1st / Mục tiêu. Nếu chưa đạt, được cộng thêm tỉ lệ Pass sau Resit (tối đa 100%).</t>
        </is>
      </c>
    </row>
    <row r="16" ht="30" customHeight="1">
      <c r="B16" s="20" t="inlineStr">
        <is>
          <t>6. KHÔNG CẦN CHỮ KÝ DUYỆT TRÊN FORM</t>
        </is>
      </c>
      <c r="C16" s="21" t="inlineStr">
        <is>
          <t>File Excel này là biểu mẫu nhập liệu và tính toán điện tử. Việc lưu trữ, gửi duyệt và phê duyệt chính thức được thực hiện trực tiếp trên hệ thống Web Dashboard của Viện.</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2026-09-23T07:11:59Z</dcterms:created>
  <dcterms:modified xmlns:dcterms="http://purl.org/dc/terms/" xmlns:xsi="http://www.w3.org/2001/XMLSchema-instance" xsi:type="dcterms:W3CDTF">2026-09-23T07:11:59Z</dcterms:modified>
</cp:coreProperties>
</file>